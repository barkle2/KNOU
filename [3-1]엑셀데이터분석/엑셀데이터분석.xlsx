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학습\3학년 1학기\4.엑셀데이터분석\"/>
    </mc:Choice>
  </mc:AlternateContent>
  <xr:revisionPtr revIDLastSave="0" documentId="13_ncr:1_{F0F7AA6A-07A3-42F9-88DE-7CD8EF4E5803}" xr6:coauthVersionLast="45" xr6:coauthVersionMax="45" xr10:uidLastSave="{00000000-0000-0000-0000-000000000000}"/>
  <bookViews>
    <workbookView xWindow="-120" yWindow="-120" windowWidth="29040" windowHeight="15990" firstSheet="2" activeTab="8" xr2:uid="{E1BB96BD-30A0-40AC-8F3B-A05716175082}"/>
  </bookViews>
  <sheets>
    <sheet name="문제1" sheetId="1" r:id="rId1"/>
    <sheet name="문제2-1" sheetId="2" r:id="rId2"/>
    <sheet name="문제2-2" sheetId="3" r:id="rId3"/>
    <sheet name="문제3" sheetId="4" r:id="rId4"/>
    <sheet name="문제4-1" sheetId="5" r:id="rId5"/>
    <sheet name="문제4-1 출력" sheetId="6" r:id="rId6"/>
    <sheet name="문제4-2" sheetId="9" r:id="rId7"/>
    <sheet name="문제4-2 출력" sheetId="10" r:id="rId8"/>
    <sheet name="문제4-3" sheetId="11" r:id="rId9"/>
  </sheets>
  <definedNames>
    <definedName name="_xlnm._FilterDatabase" localSheetId="0" hidden="1">문제1!$A$1:$C$81</definedName>
    <definedName name="solver_adj" localSheetId="2" hidden="1">'문제2-2'!$B$6:$B$8</definedName>
    <definedName name="solver_cvg" localSheetId="2" hidden="1">0.0001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'문제2-2'!$B$10</definedName>
    <definedName name="solver_lhs2" localSheetId="2" hidden="1">'문제2-2'!$B$11</definedName>
    <definedName name="solver_lhs3" localSheetId="2" hidden="1">'문제2-2'!$B$6</definedName>
    <definedName name="solver_lhs4" localSheetId="2" hidden="1">'문제2-2'!$B$7</definedName>
    <definedName name="solver_lhs5" localSheetId="2" hidden="1">'문제2-2'!$B$8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2" hidden="1">2147483647</definedName>
    <definedName name="solver_num" localSheetId="1" hidden="1">0</definedName>
    <definedName name="solver_num" localSheetId="2" hidden="1">5</definedName>
    <definedName name="solver_nwt" localSheetId="2" hidden="1">1</definedName>
    <definedName name="solver_opt" localSheetId="1" hidden="1">'문제2-1'!$E$8</definedName>
    <definedName name="solver_opt" localSheetId="2" hidden="1">'문제2-2'!$B$13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el3" localSheetId="2" hidden="1">3</definedName>
    <definedName name="solver_rel4" localSheetId="2" hidden="1">3</definedName>
    <definedName name="solver_rel5" localSheetId="2" hidden="1">3</definedName>
    <definedName name="solver_rhs1" localSheetId="2" hidden="1">'문제2-2'!$E$2</definedName>
    <definedName name="solver_rhs2" localSheetId="2" hidden="1">'문제2-2'!$E$3</definedName>
    <definedName name="solver_rhs3" localSheetId="2" hidden="1">0</definedName>
    <definedName name="solver_rhs4" localSheetId="2" hidden="1">0</definedName>
    <definedName name="solver_rhs5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11" l="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3" i="11"/>
  <c r="C3" i="11" s="1"/>
  <c r="C4" i="11" s="1"/>
  <c r="C5" i="11" s="1"/>
  <c r="C6" i="11" s="1"/>
  <c r="C7" i="11" l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L5" i="5" l="1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4" i="5"/>
  <c r="A8" i="4"/>
  <c r="A7" i="4"/>
  <c r="A5" i="4"/>
  <c r="A3" i="4"/>
  <c r="A2" i="4"/>
  <c r="A1" i="4"/>
  <c r="B13" i="3"/>
  <c r="B11" i="3"/>
  <c r="B10" i="3"/>
  <c r="B7" i="2" l="1"/>
  <c r="B3" i="2"/>
  <c r="B9" i="2" s="1"/>
  <c r="B10" i="2" s="1"/>
</calcChain>
</file>

<file path=xl/sharedStrings.xml><?xml version="1.0" encoding="utf-8"?>
<sst xmlns="http://schemas.openxmlformats.org/spreadsheetml/2006/main" count="36" uniqueCount="33">
  <si>
    <t>종합주가지수</t>
    <phoneticPr fontId="2" type="noConversion"/>
  </si>
  <si>
    <t>대미환율</t>
    <phoneticPr fontId="2" type="noConversion"/>
  </si>
  <si>
    <t>판매가</t>
    <phoneticPr fontId="2" type="noConversion"/>
  </si>
  <si>
    <t>판매개수</t>
    <phoneticPr fontId="2" type="noConversion"/>
  </si>
  <si>
    <t>총수입</t>
    <phoneticPr fontId="2" type="noConversion"/>
  </si>
  <si>
    <t>판매원가</t>
    <phoneticPr fontId="2" type="noConversion"/>
  </si>
  <si>
    <t>고정비용</t>
    <phoneticPr fontId="2" type="noConversion"/>
  </si>
  <si>
    <t>총비용</t>
    <phoneticPr fontId="2" type="noConversion"/>
  </si>
  <si>
    <t>이익</t>
    <phoneticPr fontId="2" type="noConversion"/>
  </si>
  <si>
    <t>이익률</t>
    <phoneticPr fontId="2" type="noConversion"/>
  </si>
  <si>
    <t>식탁용 의자</t>
    <phoneticPr fontId="2" type="noConversion"/>
  </si>
  <si>
    <t>식탁</t>
    <phoneticPr fontId="2" type="noConversion"/>
  </si>
  <si>
    <t>가용자원</t>
    <phoneticPr fontId="2" type="noConversion"/>
  </si>
  <si>
    <t>책장</t>
    <phoneticPr fontId="2" type="noConversion"/>
  </si>
  <si>
    <t>목재 (board feet)</t>
    <phoneticPr fontId="2" type="noConversion"/>
  </si>
  <si>
    <t>노동시간 (시간)</t>
    <phoneticPr fontId="2" type="noConversion"/>
  </si>
  <si>
    <t>이익 (천원/개)</t>
    <phoneticPr fontId="2" type="noConversion"/>
  </si>
  <si>
    <t>생산한 의자의 개수</t>
    <phoneticPr fontId="2" type="noConversion"/>
  </si>
  <si>
    <t>생산한 식탁의 개수</t>
    <phoneticPr fontId="2" type="noConversion"/>
  </si>
  <si>
    <t>생산한 책장의 개수</t>
    <phoneticPr fontId="2" type="noConversion"/>
  </si>
  <si>
    <t>사용된 목재의 총량</t>
    <phoneticPr fontId="2" type="noConversion"/>
  </si>
  <si>
    <t>사용된 노동시간의 총량</t>
    <phoneticPr fontId="2" type="noConversion"/>
  </si>
  <si>
    <t>총이익</t>
    <phoneticPr fontId="2" type="noConversion"/>
  </si>
  <si>
    <t>다음은 공정한 동전을 던지는 실험에 대한 시뮬레이션 결과이다(p=1/2)</t>
    <phoneticPr fontId="2" type="noConversion"/>
  </si>
  <si>
    <t>1: 동전의 앞면, 0: 동전의 뒷면</t>
    <phoneticPr fontId="2" type="noConversion"/>
  </si>
  <si>
    <t>시행</t>
    <phoneticPr fontId="2" type="noConversion"/>
  </si>
  <si>
    <t>총 앞면수</t>
    <phoneticPr fontId="2" type="noConversion"/>
  </si>
  <si>
    <t>계급</t>
  </si>
  <si>
    <t>기타</t>
  </si>
  <si>
    <t>빈도수</t>
  </si>
  <si>
    <t>시험</t>
    <phoneticPr fontId="2" type="noConversion"/>
  </si>
  <si>
    <t>난수</t>
    <phoneticPr fontId="2" type="noConversion"/>
  </si>
  <si>
    <t>누적값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</si>
</sst>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"/>
    <numFmt numFmtId="185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종합주가지수와 대미환율의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문제1!$B$1</c:f>
              <c:strCache>
                <c:ptCount val="1"/>
                <c:pt idx="0">
                  <c:v>종합주가지수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문제1!$A$2:$A$81</c:f>
              <c:numCache>
                <c:formatCode>m/d/yyyy</c:formatCode>
                <c:ptCount val="80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43808</c:v>
                </c:pt>
                <c:pt idx="6">
                  <c:v>43809</c:v>
                </c:pt>
                <c:pt idx="7">
                  <c:v>43810</c:v>
                </c:pt>
                <c:pt idx="8">
                  <c:v>43811</c:v>
                </c:pt>
                <c:pt idx="9">
                  <c:v>43812</c:v>
                </c:pt>
                <c:pt idx="10">
                  <c:v>43815</c:v>
                </c:pt>
                <c:pt idx="11">
                  <c:v>43816</c:v>
                </c:pt>
                <c:pt idx="12">
                  <c:v>43817</c:v>
                </c:pt>
                <c:pt idx="13">
                  <c:v>43818</c:v>
                </c:pt>
                <c:pt idx="14">
                  <c:v>43819</c:v>
                </c:pt>
                <c:pt idx="15">
                  <c:v>43822</c:v>
                </c:pt>
                <c:pt idx="16">
                  <c:v>43823</c:v>
                </c:pt>
                <c:pt idx="17">
                  <c:v>43825</c:v>
                </c:pt>
                <c:pt idx="18">
                  <c:v>43826</c:v>
                </c:pt>
                <c:pt idx="19">
                  <c:v>43829</c:v>
                </c:pt>
                <c:pt idx="20">
                  <c:v>43833</c:v>
                </c:pt>
                <c:pt idx="21">
                  <c:v>43836</c:v>
                </c:pt>
                <c:pt idx="22">
                  <c:v>43837</c:v>
                </c:pt>
                <c:pt idx="23">
                  <c:v>43838</c:v>
                </c:pt>
                <c:pt idx="24">
                  <c:v>43839</c:v>
                </c:pt>
                <c:pt idx="25">
                  <c:v>43840</c:v>
                </c:pt>
                <c:pt idx="26">
                  <c:v>43843</c:v>
                </c:pt>
                <c:pt idx="27">
                  <c:v>43844</c:v>
                </c:pt>
                <c:pt idx="28">
                  <c:v>43845</c:v>
                </c:pt>
                <c:pt idx="29">
                  <c:v>43846</c:v>
                </c:pt>
                <c:pt idx="30">
                  <c:v>43847</c:v>
                </c:pt>
                <c:pt idx="31">
                  <c:v>43850</c:v>
                </c:pt>
                <c:pt idx="32">
                  <c:v>43851</c:v>
                </c:pt>
                <c:pt idx="33">
                  <c:v>43852</c:v>
                </c:pt>
                <c:pt idx="34">
                  <c:v>43853</c:v>
                </c:pt>
                <c:pt idx="35">
                  <c:v>43858</c:v>
                </c:pt>
                <c:pt idx="36">
                  <c:v>43859</c:v>
                </c:pt>
                <c:pt idx="37">
                  <c:v>43860</c:v>
                </c:pt>
                <c:pt idx="38">
                  <c:v>43861</c:v>
                </c:pt>
                <c:pt idx="39">
                  <c:v>43864</c:v>
                </c:pt>
                <c:pt idx="40">
                  <c:v>43865</c:v>
                </c:pt>
                <c:pt idx="41">
                  <c:v>43866</c:v>
                </c:pt>
                <c:pt idx="42">
                  <c:v>43867</c:v>
                </c:pt>
                <c:pt idx="43">
                  <c:v>43868</c:v>
                </c:pt>
                <c:pt idx="44">
                  <c:v>43871</c:v>
                </c:pt>
                <c:pt idx="45">
                  <c:v>43872</c:v>
                </c:pt>
                <c:pt idx="46">
                  <c:v>43873</c:v>
                </c:pt>
                <c:pt idx="47">
                  <c:v>43874</c:v>
                </c:pt>
                <c:pt idx="48">
                  <c:v>43875</c:v>
                </c:pt>
                <c:pt idx="49">
                  <c:v>43878</c:v>
                </c:pt>
                <c:pt idx="50">
                  <c:v>43879</c:v>
                </c:pt>
                <c:pt idx="51">
                  <c:v>43880</c:v>
                </c:pt>
                <c:pt idx="52">
                  <c:v>43881</c:v>
                </c:pt>
                <c:pt idx="53">
                  <c:v>43885</c:v>
                </c:pt>
                <c:pt idx="54">
                  <c:v>43886</c:v>
                </c:pt>
                <c:pt idx="55">
                  <c:v>43887</c:v>
                </c:pt>
                <c:pt idx="56">
                  <c:v>43888</c:v>
                </c:pt>
                <c:pt idx="57">
                  <c:v>43889</c:v>
                </c:pt>
                <c:pt idx="58">
                  <c:v>43892</c:v>
                </c:pt>
                <c:pt idx="59">
                  <c:v>43893</c:v>
                </c:pt>
                <c:pt idx="60">
                  <c:v>43894</c:v>
                </c:pt>
                <c:pt idx="61">
                  <c:v>43895</c:v>
                </c:pt>
                <c:pt idx="62">
                  <c:v>43896</c:v>
                </c:pt>
                <c:pt idx="63">
                  <c:v>43899</c:v>
                </c:pt>
                <c:pt idx="64">
                  <c:v>43900</c:v>
                </c:pt>
                <c:pt idx="65">
                  <c:v>43901</c:v>
                </c:pt>
                <c:pt idx="66">
                  <c:v>43902</c:v>
                </c:pt>
                <c:pt idx="67">
                  <c:v>43903</c:v>
                </c:pt>
                <c:pt idx="68">
                  <c:v>43906</c:v>
                </c:pt>
                <c:pt idx="69">
                  <c:v>43907</c:v>
                </c:pt>
                <c:pt idx="70">
                  <c:v>43908</c:v>
                </c:pt>
                <c:pt idx="71">
                  <c:v>43909</c:v>
                </c:pt>
                <c:pt idx="72">
                  <c:v>43910</c:v>
                </c:pt>
                <c:pt idx="73">
                  <c:v>43913</c:v>
                </c:pt>
                <c:pt idx="74">
                  <c:v>43914</c:v>
                </c:pt>
                <c:pt idx="75">
                  <c:v>43915</c:v>
                </c:pt>
                <c:pt idx="76">
                  <c:v>43916</c:v>
                </c:pt>
                <c:pt idx="77">
                  <c:v>43917</c:v>
                </c:pt>
                <c:pt idx="78">
                  <c:v>43920</c:v>
                </c:pt>
                <c:pt idx="79">
                  <c:v>43921</c:v>
                </c:pt>
              </c:numCache>
            </c:numRef>
          </c:cat>
          <c:val>
            <c:numRef>
              <c:f>문제1!$B$2:$B$81</c:f>
              <c:numCache>
                <c:formatCode>0.0</c:formatCode>
                <c:ptCount val="80"/>
                <c:pt idx="0">
                  <c:v>2091.92</c:v>
                </c:pt>
                <c:pt idx="1">
                  <c:v>2084.0700000000002</c:v>
                </c:pt>
                <c:pt idx="2">
                  <c:v>2068.89</c:v>
                </c:pt>
                <c:pt idx="3">
                  <c:v>2060.7399999999998</c:v>
                </c:pt>
                <c:pt idx="4">
                  <c:v>2081.85</c:v>
                </c:pt>
                <c:pt idx="5">
                  <c:v>2088.65</c:v>
                </c:pt>
                <c:pt idx="6">
                  <c:v>2098</c:v>
                </c:pt>
                <c:pt idx="7">
                  <c:v>2105.62</c:v>
                </c:pt>
                <c:pt idx="8">
                  <c:v>2137.35</c:v>
                </c:pt>
                <c:pt idx="9">
                  <c:v>2170.25</c:v>
                </c:pt>
                <c:pt idx="10">
                  <c:v>2168.15</c:v>
                </c:pt>
                <c:pt idx="11">
                  <c:v>2195.6799999999998</c:v>
                </c:pt>
                <c:pt idx="12">
                  <c:v>2194.7600000000002</c:v>
                </c:pt>
                <c:pt idx="13">
                  <c:v>2196.56</c:v>
                </c:pt>
                <c:pt idx="14">
                  <c:v>2204.1799999999998</c:v>
                </c:pt>
                <c:pt idx="15">
                  <c:v>2203.71</c:v>
                </c:pt>
                <c:pt idx="16">
                  <c:v>2190.08</c:v>
                </c:pt>
                <c:pt idx="17">
                  <c:v>2197.9299999999998</c:v>
                </c:pt>
                <c:pt idx="18">
                  <c:v>2204.21</c:v>
                </c:pt>
                <c:pt idx="19">
                  <c:v>2197.67</c:v>
                </c:pt>
                <c:pt idx="20">
                  <c:v>2176.46</c:v>
                </c:pt>
                <c:pt idx="21">
                  <c:v>2155.0700000000002</c:v>
                </c:pt>
                <c:pt idx="22">
                  <c:v>2175.54</c:v>
                </c:pt>
                <c:pt idx="23">
                  <c:v>2151.31</c:v>
                </c:pt>
                <c:pt idx="24">
                  <c:v>2186.4499999999998</c:v>
                </c:pt>
                <c:pt idx="25">
                  <c:v>2206.39</c:v>
                </c:pt>
                <c:pt idx="26">
                  <c:v>2229.2600000000002</c:v>
                </c:pt>
                <c:pt idx="27">
                  <c:v>2238.88</c:v>
                </c:pt>
                <c:pt idx="28">
                  <c:v>2230.98</c:v>
                </c:pt>
                <c:pt idx="29">
                  <c:v>2248.0500000000002</c:v>
                </c:pt>
                <c:pt idx="30">
                  <c:v>2250.5700000000002</c:v>
                </c:pt>
                <c:pt idx="31">
                  <c:v>2262.64</c:v>
                </c:pt>
                <c:pt idx="32">
                  <c:v>2239.69</c:v>
                </c:pt>
                <c:pt idx="33">
                  <c:v>2267.25</c:v>
                </c:pt>
                <c:pt idx="34">
                  <c:v>2246.13</c:v>
                </c:pt>
                <c:pt idx="35">
                  <c:v>2176.7199999999998</c:v>
                </c:pt>
                <c:pt idx="36">
                  <c:v>2185.2800000000002</c:v>
                </c:pt>
                <c:pt idx="37">
                  <c:v>2148</c:v>
                </c:pt>
                <c:pt idx="38">
                  <c:v>2119.0100000000002</c:v>
                </c:pt>
                <c:pt idx="39">
                  <c:v>2118.88</c:v>
                </c:pt>
                <c:pt idx="40">
                  <c:v>2157.9</c:v>
                </c:pt>
                <c:pt idx="41">
                  <c:v>2165.63</c:v>
                </c:pt>
                <c:pt idx="42">
                  <c:v>2227.94</c:v>
                </c:pt>
                <c:pt idx="43">
                  <c:v>2211.9499999999998</c:v>
                </c:pt>
                <c:pt idx="44">
                  <c:v>2201.0700000000002</c:v>
                </c:pt>
                <c:pt idx="45">
                  <c:v>2223.12</c:v>
                </c:pt>
                <c:pt idx="46">
                  <c:v>2238.38</c:v>
                </c:pt>
                <c:pt idx="47">
                  <c:v>2232.96</c:v>
                </c:pt>
                <c:pt idx="48">
                  <c:v>2243.59</c:v>
                </c:pt>
                <c:pt idx="49">
                  <c:v>2242.17</c:v>
                </c:pt>
                <c:pt idx="50">
                  <c:v>2208.88</c:v>
                </c:pt>
                <c:pt idx="51">
                  <c:v>2210.34</c:v>
                </c:pt>
                <c:pt idx="52">
                  <c:v>2195.5</c:v>
                </c:pt>
                <c:pt idx="53">
                  <c:v>2079.04</c:v>
                </c:pt>
                <c:pt idx="54">
                  <c:v>2103.61</c:v>
                </c:pt>
                <c:pt idx="55">
                  <c:v>2076.77</c:v>
                </c:pt>
                <c:pt idx="56">
                  <c:v>2054.89</c:v>
                </c:pt>
                <c:pt idx="57">
                  <c:v>1987.01</c:v>
                </c:pt>
                <c:pt idx="58">
                  <c:v>2002.51</c:v>
                </c:pt>
                <c:pt idx="59">
                  <c:v>2014.15</c:v>
                </c:pt>
                <c:pt idx="60">
                  <c:v>2059.33</c:v>
                </c:pt>
                <c:pt idx="61">
                  <c:v>2085.2600000000002</c:v>
                </c:pt>
                <c:pt idx="62">
                  <c:v>2040.22</c:v>
                </c:pt>
                <c:pt idx="63">
                  <c:v>1954.77</c:v>
                </c:pt>
                <c:pt idx="64">
                  <c:v>1962.93</c:v>
                </c:pt>
                <c:pt idx="65">
                  <c:v>1908.27</c:v>
                </c:pt>
                <c:pt idx="66">
                  <c:v>1834.33</c:v>
                </c:pt>
                <c:pt idx="67">
                  <c:v>1771.44</c:v>
                </c:pt>
                <c:pt idx="68">
                  <c:v>1714.86</c:v>
                </c:pt>
                <c:pt idx="69">
                  <c:v>1672.44</c:v>
                </c:pt>
                <c:pt idx="70">
                  <c:v>1591.2</c:v>
                </c:pt>
                <c:pt idx="71">
                  <c:v>1457.64</c:v>
                </c:pt>
                <c:pt idx="72">
                  <c:v>1566.15</c:v>
                </c:pt>
                <c:pt idx="73">
                  <c:v>1482.46</c:v>
                </c:pt>
                <c:pt idx="74">
                  <c:v>1609.97</c:v>
                </c:pt>
                <c:pt idx="75">
                  <c:v>1704.76</c:v>
                </c:pt>
                <c:pt idx="76">
                  <c:v>1686.24</c:v>
                </c:pt>
                <c:pt idx="77">
                  <c:v>1717.73</c:v>
                </c:pt>
                <c:pt idx="78">
                  <c:v>1717.12</c:v>
                </c:pt>
                <c:pt idx="79">
                  <c:v>1754.64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E-4C64-B97C-DD67F506B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132400"/>
        <c:axId val="2029369264"/>
      </c:lineChart>
      <c:lineChart>
        <c:grouping val="standard"/>
        <c:varyColors val="0"/>
        <c:ser>
          <c:idx val="1"/>
          <c:order val="1"/>
          <c:tx>
            <c:strRef>
              <c:f>문제1!$C$1</c:f>
              <c:strCache>
                <c:ptCount val="1"/>
                <c:pt idx="0">
                  <c:v>대미환율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문제1!$A$2:$A$81</c:f>
              <c:numCache>
                <c:formatCode>m/d/yyyy</c:formatCode>
                <c:ptCount val="80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43808</c:v>
                </c:pt>
                <c:pt idx="6">
                  <c:v>43809</c:v>
                </c:pt>
                <c:pt idx="7">
                  <c:v>43810</c:v>
                </c:pt>
                <c:pt idx="8">
                  <c:v>43811</c:v>
                </c:pt>
                <c:pt idx="9">
                  <c:v>43812</c:v>
                </c:pt>
                <c:pt idx="10">
                  <c:v>43815</c:v>
                </c:pt>
                <c:pt idx="11">
                  <c:v>43816</c:v>
                </c:pt>
                <c:pt idx="12">
                  <c:v>43817</c:v>
                </c:pt>
                <c:pt idx="13">
                  <c:v>43818</c:v>
                </c:pt>
                <c:pt idx="14">
                  <c:v>43819</c:v>
                </c:pt>
                <c:pt idx="15">
                  <c:v>43822</c:v>
                </c:pt>
                <c:pt idx="16">
                  <c:v>43823</c:v>
                </c:pt>
                <c:pt idx="17">
                  <c:v>43825</c:v>
                </c:pt>
                <c:pt idx="18">
                  <c:v>43826</c:v>
                </c:pt>
                <c:pt idx="19">
                  <c:v>43829</c:v>
                </c:pt>
                <c:pt idx="20">
                  <c:v>43833</c:v>
                </c:pt>
                <c:pt idx="21">
                  <c:v>43836</c:v>
                </c:pt>
                <c:pt idx="22">
                  <c:v>43837</c:v>
                </c:pt>
                <c:pt idx="23">
                  <c:v>43838</c:v>
                </c:pt>
                <c:pt idx="24">
                  <c:v>43839</c:v>
                </c:pt>
                <c:pt idx="25">
                  <c:v>43840</c:v>
                </c:pt>
                <c:pt idx="26">
                  <c:v>43843</c:v>
                </c:pt>
                <c:pt idx="27">
                  <c:v>43844</c:v>
                </c:pt>
                <c:pt idx="28">
                  <c:v>43845</c:v>
                </c:pt>
                <c:pt idx="29">
                  <c:v>43846</c:v>
                </c:pt>
                <c:pt idx="30">
                  <c:v>43847</c:v>
                </c:pt>
                <c:pt idx="31">
                  <c:v>43850</c:v>
                </c:pt>
                <c:pt idx="32">
                  <c:v>43851</c:v>
                </c:pt>
                <c:pt idx="33">
                  <c:v>43852</c:v>
                </c:pt>
                <c:pt idx="34">
                  <c:v>43853</c:v>
                </c:pt>
                <c:pt idx="35">
                  <c:v>43858</c:v>
                </c:pt>
                <c:pt idx="36">
                  <c:v>43859</c:v>
                </c:pt>
                <c:pt idx="37">
                  <c:v>43860</c:v>
                </c:pt>
                <c:pt idx="38">
                  <c:v>43861</c:v>
                </c:pt>
                <c:pt idx="39">
                  <c:v>43864</c:v>
                </c:pt>
                <c:pt idx="40">
                  <c:v>43865</c:v>
                </c:pt>
                <c:pt idx="41">
                  <c:v>43866</c:v>
                </c:pt>
                <c:pt idx="42">
                  <c:v>43867</c:v>
                </c:pt>
                <c:pt idx="43">
                  <c:v>43868</c:v>
                </c:pt>
                <c:pt idx="44">
                  <c:v>43871</c:v>
                </c:pt>
                <c:pt idx="45">
                  <c:v>43872</c:v>
                </c:pt>
                <c:pt idx="46">
                  <c:v>43873</c:v>
                </c:pt>
                <c:pt idx="47">
                  <c:v>43874</c:v>
                </c:pt>
                <c:pt idx="48">
                  <c:v>43875</c:v>
                </c:pt>
                <c:pt idx="49">
                  <c:v>43878</c:v>
                </c:pt>
                <c:pt idx="50">
                  <c:v>43879</c:v>
                </c:pt>
                <c:pt idx="51">
                  <c:v>43880</c:v>
                </c:pt>
                <c:pt idx="52">
                  <c:v>43881</c:v>
                </c:pt>
                <c:pt idx="53">
                  <c:v>43885</c:v>
                </c:pt>
                <c:pt idx="54">
                  <c:v>43886</c:v>
                </c:pt>
                <c:pt idx="55">
                  <c:v>43887</c:v>
                </c:pt>
                <c:pt idx="56">
                  <c:v>43888</c:v>
                </c:pt>
                <c:pt idx="57">
                  <c:v>43889</c:v>
                </c:pt>
                <c:pt idx="58">
                  <c:v>43892</c:v>
                </c:pt>
                <c:pt idx="59">
                  <c:v>43893</c:v>
                </c:pt>
                <c:pt idx="60">
                  <c:v>43894</c:v>
                </c:pt>
                <c:pt idx="61">
                  <c:v>43895</c:v>
                </c:pt>
                <c:pt idx="62">
                  <c:v>43896</c:v>
                </c:pt>
                <c:pt idx="63">
                  <c:v>43899</c:v>
                </c:pt>
                <c:pt idx="64">
                  <c:v>43900</c:v>
                </c:pt>
                <c:pt idx="65">
                  <c:v>43901</c:v>
                </c:pt>
                <c:pt idx="66">
                  <c:v>43902</c:v>
                </c:pt>
                <c:pt idx="67">
                  <c:v>43903</c:v>
                </c:pt>
                <c:pt idx="68">
                  <c:v>43906</c:v>
                </c:pt>
                <c:pt idx="69">
                  <c:v>43907</c:v>
                </c:pt>
                <c:pt idx="70">
                  <c:v>43908</c:v>
                </c:pt>
                <c:pt idx="71">
                  <c:v>43909</c:v>
                </c:pt>
                <c:pt idx="72">
                  <c:v>43910</c:v>
                </c:pt>
                <c:pt idx="73">
                  <c:v>43913</c:v>
                </c:pt>
                <c:pt idx="74">
                  <c:v>43914</c:v>
                </c:pt>
                <c:pt idx="75">
                  <c:v>43915</c:v>
                </c:pt>
                <c:pt idx="76">
                  <c:v>43916</c:v>
                </c:pt>
                <c:pt idx="77">
                  <c:v>43917</c:v>
                </c:pt>
                <c:pt idx="78">
                  <c:v>43920</c:v>
                </c:pt>
                <c:pt idx="79">
                  <c:v>43921</c:v>
                </c:pt>
              </c:numCache>
            </c:numRef>
          </c:cat>
          <c:val>
            <c:numRef>
              <c:f>문제1!$C$2:$C$81</c:f>
              <c:numCache>
                <c:formatCode>0.0</c:formatCode>
                <c:ptCount val="80"/>
                <c:pt idx="0">
                  <c:v>1181</c:v>
                </c:pt>
                <c:pt idx="1">
                  <c:v>1185.5</c:v>
                </c:pt>
                <c:pt idx="2">
                  <c:v>1190.5</c:v>
                </c:pt>
                <c:pt idx="3">
                  <c:v>1192.5</c:v>
                </c:pt>
                <c:pt idx="4">
                  <c:v>1188.5</c:v>
                </c:pt>
                <c:pt idx="5">
                  <c:v>1188</c:v>
                </c:pt>
                <c:pt idx="6">
                  <c:v>1191.5</c:v>
                </c:pt>
                <c:pt idx="7">
                  <c:v>1190.7</c:v>
                </c:pt>
                <c:pt idx="8">
                  <c:v>1189</c:v>
                </c:pt>
                <c:pt idx="9">
                  <c:v>1172</c:v>
                </c:pt>
                <c:pt idx="10">
                  <c:v>1177</c:v>
                </c:pt>
                <c:pt idx="11">
                  <c:v>1169</c:v>
                </c:pt>
                <c:pt idx="12">
                  <c:v>1163</c:v>
                </c:pt>
                <c:pt idx="13">
                  <c:v>1166</c:v>
                </c:pt>
                <c:pt idx="14">
                  <c:v>1163.3</c:v>
                </c:pt>
                <c:pt idx="15">
                  <c:v>1159.7</c:v>
                </c:pt>
                <c:pt idx="16">
                  <c:v>1164</c:v>
                </c:pt>
                <c:pt idx="17">
                  <c:v>1161.5</c:v>
                </c:pt>
                <c:pt idx="18">
                  <c:v>1162.3</c:v>
                </c:pt>
                <c:pt idx="19">
                  <c:v>1160</c:v>
                </c:pt>
                <c:pt idx="20">
                  <c:v>1158.5</c:v>
                </c:pt>
                <c:pt idx="21">
                  <c:v>1168.0999999999999</c:v>
                </c:pt>
                <c:pt idx="22">
                  <c:v>1168.5</c:v>
                </c:pt>
                <c:pt idx="23">
                  <c:v>1170.3</c:v>
                </c:pt>
                <c:pt idx="24">
                  <c:v>1162</c:v>
                </c:pt>
                <c:pt idx="25">
                  <c:v>1159.2</c:v>
                </c:pt>
                <c:pt idx="26">
                  <c:v>1158.5</c:v>
                </c:pt>
                <c:pt idx="27">
                  <c:v>1153.7</c:v>
                </c:pt>
                <c:pt idx="28">
                  <c:v>1160</c:v>
                </c:pt>
                <c:pt idx="29">
                  <c:v>1159.5</c:v>
                </c:pt>
                <c:pt idx="30">
                  <c:v>1160</c:v>
                </c:pt>
                <c:pt idx="31">
                  <c:v>1161.5</c:v>
                </c:pt>
                <c:pt idx="32">
                  <c:v>1159.9000000000001</c:v>
                </c:pt>
                <c:pt idx="33">
                  <c:v>1169.3</c:v>
                </c:pt>
                <c:pt idx="34">
                  <c:v>1167</c:v>
                </c:pt>
                <c:pt idx="35">
                  <c:v>1178.5</c:v>
                </c:pt>
                <c:pt idx="36">
                  <c:v>1177.7</c:v>
                </c:pt>
                <c:pt idx="37">
                  <c:v>1179</c:v>
                </c:pt>
                <c:pt idx="38">
                  <c:v>1188.8</c:v>
                </c:pt>
                <c:pt idx="39">
                  <c:v>1197</c:v>
                </c:pt>
                <c:pt idx="40">
                  <c:v>1191.5999999999999</c:v>
                </c:pt>
                <c:pt idx="41">
                  <c:v>1184</c:v>
                </c:pt>
                <c:pt idx="42">
                  <c:v>1184</c:v>
                </c:pt>
                <c:pt idx="43">
                  <c:v>1185</c:v>
                </c:pt>
                <c:pt idx="44">
                  <c:v>1193</c:v>
                </c:pt>
                <c:pt idx="45">
                  <c:v>1187</c:v>
                </c:pt>
                <c:pt idx="46">
                  <c:v>1182</c:v>
                </c:pt>
                <c:pt idx="47">
                  <c:v>1182</c:v>
                </c:pt>
                <c:pt idx="48">
                  <c:v>1184</c:v>
                </c:pt>
                <c:pt idx="49">
                  <c:v>1183</c:v>
                </c:pt>
                <c:pt idx="50">
                  <c:v>1184.5</c:v>
                </c:pt>
                <c:pt idx="51">
                  <c:v>1190</c:v>
                </c:pt>
                <c:pt idx="52">
                  <c:v>1193</c:v>
                </c:pt>
                <c:pt idx="53">
                  <c:v>1215.5</c:v>
                </c:pt>
                <c:pt idx="54">
                  <c:v>1220.5</c:v>
                </c:pt>
                <c:pt idx="55">
                  <c:v>1216.5</c:v>
                </c:pt>
                <c:pt idx="56">
                  <c:v>1215</c:v>
                </c:pt>
                <c:pt idx="57">
                  <c:v>1215</c:v>
                </c:pt>
                <c:pt idx="58">
                  <c:v>1205</c:v>
                </c:pt>
                <c:pt idx="59">
                  <c:v>1191.5</c:v>
                </c:pt>
                <c:pt idx="60">
                  <c:v>1187</c:v>
                </c:pt>
                <c:pt idx="61">
                  <c:v>1187</c:v>
                </c:pt>
                <c:pt idx="62">
                  <c:v>1190.5</c:v>
                </c:pt>
                <c:pt idx="63">
                  <c:v>1192.9000000000001</c:v>
                </c:pt>
                <c:pt idx="64">
                  <c:v>1203</c:v>
                </c:pt>
                <c:pt idx="65">
                  <c:v>1188</c:v>
                </c:pt>
                <c:pt idx="66">
                  <c:v>1190.7</c:v>
                </c:pt>
                <c:pt idx="67">
                  <c:v>1215</c:v>
                </c:pt>
                <c:pt idx="68">
                  <c:v>1211</c:v>
                </c:pt>
                <c:pt idx="69">
                  <c:v>1231</c:v>
                </c:pt>
                <c:pt idx="70">
                  <c:v>1243</c:v>
                </c:pt>
                <c:pt idx="71">
                  <c:v>1257</c:v>
                </c:pt>
                <c:pt idx="72">
                  <c:v>1253.7</c:v>
                </c:pt>
                <c:pt idx="73">
                  <c:v>1265</c:v>
                </c:pt>
                <c:pt idx="74">
                  <c:v>1265</c:v>
                </c:pt>
                <c:pt idx="75">
                  <c:v>1235.7</c:v>
                </c:pt>
                <c:pt idx="76">
                  <c:v>1226</c:v>
                </c:pt>
                <c:pt idx="77">
                  <c:v>1214</c:v>
                </c:pt>
                <c:pt idx="78">
                  <c:v>1216</c:v>
                </c:pt>
                <c:pt idx="79">
                  <c:v>1223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E-4C64-B97C-DD67F506B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82064"/>
        <c:axId val="1908170112"/>
      </c:lineChart>
      <c:dateAx>
        <c:axId val="2035132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29369264"/>
        <c:crosses val="autoZero"/>
        <c:auto val="1"/>
        <c:lblOffset val="100"/>
        <c:baseTimeUnit val="days"/>
      </c:dateAx>
      <c:valAx>
        <c:axId val="2029369264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5132400"/>
        <c:crosses val="autoZero"/>
        <c:crossBetween val="between"/>
      </c:valAx>
      <c:valAx>
        <c:axId val="190817011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82064"/>
        <c:crosses val="max"/>
        <c:crossBetween val="between"/>
      </c:valAx>
      <c:dateAx>
        <c:axId val="442820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08170112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'문제4-1 출력'!$A$2:$A$6</c:f>
              <c:strCache>
                <c:ptCount val="5"/>
                <c:pt idx="0">
                  <c:v>2</c:v>
                </c:pt>
                <c:pt idx="1">
                  <c:v>3.75</c:v>
                </c:pt>
                <c:pt idx="2">
                  <c:v>5.5</c:v>
                </c:pt>
                <c:pt idx="3">
                  <c:v>7.25</c:v>
                </c:pt>
                <c:pt idx="4">
                  <c:v>기타</c:v>
                </c:pt>
              </c:strCache>
            </c:strRef>
          </c:cat>
          <c:val>
            <c:numRef>
              <c:f>'문제4-1 출력'!$B$2:$B$6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B-4A28-8E0E-E59D33DC3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43744"/>
        <c:axId val="44396704"/>
      </c:barChart>
      <c:catAx>
        <c:axId val="18974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396704"/>
        <c:crosses val="autoZero"/>
        <c:auto val="1"/>
        <c:lblAlgn val="ctr"/>
        <c:lblOffset val="100"/>
        <c:noMultiLvlLbl val="0"/>
      </c:catAx>
      <c:valAx>
        <c:axId val="44396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74374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'문제4-2 출력'!$A$2:$A$11</c:f>
              <c:strCache>
                <c:ptCount val="10"/>
                <c:pt idx="0">
                  <c:v>-3.02301487</c:v>
                </c:pt>
                <c:pt idx="1">
                  <c:v>-2.336196808</c:v>
                </c:pt>
                <c:pt idx="2">
                  <c:v>-1.649378747</c:v>
                </c:pt>
                <c:pt idx="3">
                  <c:v>-0.962560686</c:v>
                </c:pt>
                <c:pt idx="4">
                  <c:v>-0.275742625</c:v>
                </c:pt>
                <c:pt idx="5">
                  <c:v>0.411075436</c:v>
                </c:pt>
                <c:pt idx="6">
                  <c:v>1.097893498</c:v>
                </c:pt>
                <c:pt idx="7">
                  <c:v>1.784711559</c:v>
                </c:pt>
                <c:pt idx="8">
                  <c:v>2.47152962</c:v>
                </c:pt>
                <c:pt idx="9">
                  <c:v>기타</c:v>
                </c:pt>
              </c:strCache>
            </c:strRef>
          </c:cat>
          <c:val>
            <c:numRef>
              <c:f>'문제4-2 출력'!$B$2:$B$11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15</c:v>
                </c:pt>
                <c:pt idx="5">
                  <c:v>24</c:v>
                </c:pt>
                <c:pt idx="6">
                  <c:v>24</c:v>
                </c:pt>
                <c:pt idx="7">
                  <c:v>12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A-40BE-9F31-ECAD88BE6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63520"/>
        <c:axId val="44407936"/>
      </c:barChart>
      <c:catAx>
        <c:axId val="4156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407936"/>
        <c:crosses val="autoZero"/>
        <c:auto val="1"/>
        <c:lblAlgn val="ctr"/>
        <c:lblOffset val="100"/>
        <c:noMultiLvlLbl val="0"/>
      </c:catAx>
      <c:valAx>
        <c:axId val="44407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56352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누적값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'문제4-3'!$A$2:$A$101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'문제4-3'!$C$2:$C$101</c:f>
              <c:numCache>
                <c:formatCode>General</c:formatCode>
                <c:ptCount val="100"/>
                <c:pt idx="0">
                  <c:v>0</c:v>
                </c:pt>
                <c:pt idx="1">
                  <c:v>-0.39100762129462441</c:v>
                </c:pt>
                <c:pt idx="2">
                  <c:v>-0.36586583463885791</c:v>
                </c:pt>
                <c:pt idx="3">
                  <c:v>-0.54396242704045739</c:v>
                </c:pt>
                <c:pt idx="4">
                  <c:v>-0.29844332680768593</c:v>
                </c:pt>
                <c:pt idx="5">
                  <c:v>-0.47814281176426665</c:v>
                </c:pt>
                <c:pt idx="6">
                  <c:v>-0.3598663554709044</c:v>
                </c:pt>
                <c:pt idx="7">
                  <c:v>4.4607617045602233E-2</c:v>
                </c:pt>
                <c:pt idx="8">
                  <c:v>-0.3733955790576361</c:v>
                </c:pt>
                <c:pt idx="9">
                  <c:v>0.10109252108074473</c:v>
                </c:pt>
                <c:pt idx="10">
                  <c:v>7.8202832131239908E-2</c:v>
                </c:pt>
                <c:pt idx="11">
                  <c:v>-0.38930245682259723</c:v>
                </c:pt>
                <c:pt idx="12">
                  <c:v>-0.33167901093208785</c:v>
                </c:pt>
                <c:pt idx="13">
                  <c:v>4.814660443025498E-2</c:v>
                </c:pt>
                <c:pt idx="14">
                  <c:v>0.18018917609091878</c:v>
                </c:pt>
                <c:pt idx="15">
                  <c:v>0.30588730970517863</c:v>
                </c:pt>
                <c:pt idx="16">
                  <c:v>0.66349758929349045</c:v>
                </c:pt>
                <c:pt idx="17">
                  <c:v>0.38508746279225103</c:v>
                </c:pt>
                <c:pt idx="18">
                  <c:v>0.53397609377044786</c:v>
                </c:pt>
                <c:pt idx="19">
                  <c:v>0.29670967583040586</c:v>
                </c:pt>
                <c:pt idx="20">
                  <c:v>9.8715225687078245E-3</c:v>
                </c:pt>
                <c:pt idx="21">
                  <c:v>-0.40351779251899778</c:v>
                </c:pt>
                <c:pt idx="22">
                  <c:v>-0.56295379617961305</c:v>
                </c:pt>
                <c:pt idx="23">
                  <c:v>-0.36065907773615313</c:v>
                </c:pt>
                <c:pt idx="24">
                  <c:v>-0.43710350209340043</c:v>
                </c:pt>
                <c:pt idx="25">
                  <c:v>-0.37940825668736866</c:v>
                </c:pt>
                <c:pt idx="26">
                  <c:v>-0.80592913865644689</c:v>
                </c:pt>
                <c:pt idx="27">
                  <c:v>-0.97348886136815516</c:v>
                </c:pt>
                <c:pt idx="28">
                  <c:v>-0.99308076744786988</c:v>
                </c:pt>
                <c:pt idx="29">
                  <c:v>-0.64999749087018199</c:v>
                </c:pt>
                <c:pt idx="30">
                  <c:v>-0.17503185935131327</c:v>
                </c:pt>
                <c:pt idx="31">
                  <c:v>-0.41454829994950471</c:v>
                </c:pt>
                <c:pt idx="32">
                  <c:v>-0.63404618035410176</c:v>
                </c:pt>
                <c:pt idx="33">
                  <c:v>-0.82216492184123635</c:v>
                </c:pt>
                <c:pt idx="34">
                  <c:v>-1.3215553225642376</c:v>
                </c:pt>
                <c:pt idx="35">
                  <c:v>-1.5012214227939349</c:v>
                </c:pt>
                <c:pt idx="36">
                  <c:v>-1.3585550339254857</c:v>
                </c:pt>
                <c:pt idx="37">
                  <c:v>-1.2811316958775625</c:v>
                </c:pt>
                <c:pt idx="38">
                  <c:v>-0.96566141257331972</c:v>
                </c:pt>
                <c:pt idx="39">
                  <c:v>-0.89811901534665262</c:v>
                </c:pt>
                <c:pt idx="40">
                  <c:v>-0.55559464117619661</c:v>
                </c:pt>
                <c:pt idx="41">
                  <c:v>-0.83841750079018595</c:v>
                </c:pt>
                <c:pt idx="42">
                  <c:v>-1.2383953614506897</c:v>
                </c:pt>
                <c:pt idx="43">
                  <c:v>-1.5889798581536452</c:v>
                </c:pt>
                <c:pt idx="44">
                  <c:v>-1.1553013907896617</c:v>
                </c:pt>
                <c:pt idx="45">
                  <c:v>-1.3722621018419472</c:v>
                </c:pt>
                <c:pt idx="46">
                  <c:v>-0.96344543501432467</c:v>
                </c:pt>
                <c:pt idx="47">
                  <c:v>-1.1755631250186838</c:v>
                </c:pt>
                <c:pt idx="48">
                  <c:v>-1.4338114370408417</c:v>
                </c:pt>
                <c:pt idx="49">
                  <c:v>-0.93608984209505275</c:v>
                </c:pt>
                <c:pt idx="50">
                  <c:v>-1.3459176162886846</c:v>
                </c:pt>
                <c:pt idx="51">
                  <c:v>-1.0839117399533822</c:v>
                </c:pt>
                <c:pt idx="52">
                  <c:v>-0.7274738467903733</c:v>
                </c:pt>
                <c:pt idx="53">
                  <c:v>-0.32602021981159146</c:v>
                </c:pt>
                <c:pt idx="54">
                  <c:v>-0.25697901764471576</c:v>
                </c:pt>
                <c:pt idx="55">
                  <c:v>-0.72578947165925778</c:v>
                </c:pt>
                <c:pt idx="56">
                  <c:v>-1.1335569751606689</c:v>
                </c:pt>
                <c:pt idx="57">
                  <c:v>-1.2553507512606328</c:v>
                </c:pt>
                <c:pt idx="58">
                  <c:v>-1.4317933641728331</c:v>
                </c:pt>
                <c:pt idx="59">
                  <c:v>-1.6554656217233346</c:v>
                </c:pt>
                <c:pt idx="60">
                  <c:v>-1.44292834526876</c:v>
                </c:pt>
                <c:pt idx="61">
                  <c:v>-1.2121999630163831</c:v>
                </c:pt>
                <c:pt idx="62">
                  <c:v>-1.4497796791987088</c:v>
                </c:pt>
                <c:pt idx="63">
                  <c:v>-1.6735821292681938</c:v>
                </c:pt>
                <c:pt idx="64">
                  <c:v>-1.3607610578178349</c:v>
                </c:pt>
                <c:pt idx="65">
                  <c:v>-1.3341680102762732</c:v>
                </c:pt>
                <c:pt idx="66">
                  <c:v>-1.2320243761597629</c:v>
                </c:pt>
                <c:pt idx="67">
                  <c:v>-0.93046993291625169</c:v>
                </c:pt>
                <c:pt idx="68">
                  <c:v>-1.414211784393947</c:v>
                </c:pt>
                <c:pt idx="69">
                  <c:v>-1.0244147170215128</c:v>
                </c:pt>
                <c:pt idx="70">
                  <c:v>-0.53274618914347982</c:v>
                </c:pt>
                <c:pt idx="71">
                  <c:v>-0.1153357170716971</c:v>
                </c:pt>
                <c:pt idx="72">
                  <c:v>-3.4370120339780375E-2</c:v>
                </c:pt>
                <c:pt idx="73">
                  <c:v>-0.30765229372022607</c:v>
                </c:pt>
                <c:pt idx="74">
                  <c:v>0.18479593619166579</c:v>
                </c:pt>
                <c:pt idx="75">
                  <c:v>5.3522058621234603E-2</c:v>
                </c:pt>
                <c:pt idx="76">
                  <c:v>-0.17051575395783336</c:v>
                </c:pt>
                <c:pt idx="77">
                  <c:v>-0.59457814423904209</c:v>
                </c:pt>
                <c:pt idx="78">
                  <c:v>-0.90771796017239059</c:v>
                </c:pt>
                <c:pt idx="79">
                  <c:v>-1.2030462138156532</c:v>
                </c:pt>
                <c:pt idx="80">
                  <c:v>-1.0768974453516851</c:v>
                </c:pt>
                <c:pt idx="81">
                  <c:v>-0.7300010538629973</c:v>
                </c:pt>
                <c:pt idx="82">
                  <c:v>-1.0940158458333697</c:v>
                </c:pt>
                <c:pt idx="83">
                  <c:v>-1.4889789843130163</c:v>
                </c:pt>
                <c:pt idx="84">
                  <c:v>-1.7645449962619857</c:v>
                </c:pt>
                <c:pt idx="85">
                  <c:v>-1.2648285350103625</c:v>
                </c:pt>
                <c:pt idx="86">
                  <c:v>-1.4481570344964023</c:v>
                </c:pt>
                <c:pt idx="87">
                  <c:v>-1.1721341915260739</c:v>
                </c:pt>
                <c:pt idx="88">
                  <c:v>-0.9260929029623205</c:v>
                </c:pt>
                <c:pt idx="89">
                  <c:v>-0.60203205275980554</c:v>
                </c:pt>
                <c:pt idx="90">
                  <c:v>-0.81906602261411154</c:v>
                </c:pt>
                <c:pt idx="91">
                  <c:v>-1.1162086957400419</c:v>
                </c:pt>
                <c:pt idx="92">
                  <c:v>-1.4583451435389345</c:v>
                </c:pt>
                <c:pt idx="93">
                  <c:v>-1.9084389592167028</c:v>
                </c:pt>
                <c:pt idx="94">
                  <c:v>-2.3510716588151812</c:v>
                </c:pt>
                <c:pt idx="95">
                  <c:v>-2.3445496914901245</c:v>
                </c:pt>
                <c:pt idx="96">
                  <c:v>-2.6935771492109373</c:v>
                </c:pt>
                <c:pt idx="97">
                  <c:v>-2.551223359317131</c:v>
                </c:pt>
                <c:pt idx="98">
                  <c:v>-2.1871490067716195</c:v>
                </c:pt>
                <c:pt idx="99">
                  <c:v>-1.9325599654271033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8-4D12-B575-2BF598F36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397168"/>
        <c:axId val="173755968"/>
      </c:lineChart>
      <c:catAx>
        <c:axId val="190439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755968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37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439716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209549</xdr:rowOff>
    </xdr:from>
    <xdr:to>
      <xdr:col>17</xdr:col>
      <xdr:colOff>0</xdr:colOff>
      <xdr:row>27</xdr:row>
      <xdr:rowOff>85724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9F8A15F-E4F9-457A-B57D-3B8BE5603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0</xdr:row>
      <xdr:rowOff>200025</xdr:rowOff>
    </xdr:from>
    <xdr:to>
      <xdr:col>12</xdr:col>
      <xdr:colOff>171449</xdr:colOff>
      <xdr:row>20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94893D2-7031-4EDC-8C35-12E053DCB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0</xdr:row>
      <xdr:rowOff>200024</xdr:rowOff>
    </xdr:from>
    <xdr:to>
      <xdr:col>11</xdr:col>
      <xdr:colOff>476249</xdr:colOff>
      <xdr:row>19</xdr:row>
      <xdr:rowOff>161924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4CDBC54-827C-40FD-992A-6B2CE817A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3</xdr:row>
      <xdr:rowOff>171449</xdr:rowOff>
    </xdr:from>
    <xdr:to>
      <xdr:col>12</xdr:col>
      <xdr:colOff>66675</xdr:colOff>
      <xdr:row>20</xdr:row>
      <xdr:rowOff>66674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5B209BB-4B31-4566-B357-57CD9ED0A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E9AC-C2AE-4956-BA81-ED39BC765FB0}">
  <dimension ref="A1:C81"/>
  <sheetViews>
    <sheetView topLeftCell="E1" workbookViewId="0">
      <selection activeCell="D29" sqref="D29"/>
    </sheetView>
  </sheetViews>
  <sheetFormatPr defaultRowHeight="16.5" x14ac:dyDescent="0.3"/>
  <cols>
    <col min="1" max="1" width="11.125" bestFit="1" customWidth="1"/>
    <col min="2" max="2" width="13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 s="1">
        <v>43801</v>
      </c>
      <c r="B2" s="2">
        <v>2091.92</v>
      </c>
      <c r="C2" s="2">
        <v>1181</v>
      </c>
    </row>
    <row r="3" spans="1:3" x14ac:dyDescent="0.3">
      <c r="A3" s="1">
        <v>43802</v>
      </c>
      <c r="B3" s="2">
        <v>2084.0700000000002</v>
      </c>
      <c r="C3" s="2">
        <v>1185.5</v>
      </c>
    </row>
    <row r="4" spans="1:3" x14ac:dyDescent="0.3">
      <c r="A4" s="1">
        <v>43803</v>
      </c>
      <c r="B4" s="2">
        <v>2068.89</v>
      </c>
      <c r="C4" s="2">
        <v>1190.5</v>
      </c>
    </row>
    <row r="5" spans="1:3" x14ac:dyDescent="0.3">
      <c r="A5" s="1">
        <v>43804</v>
      </c>
      <c r="B5" s="2">
        <v>2060.7399999999998</v>
      </c>
      <c r="C5" s="2">
        <v>1192.5</v>
      </c>
    </row>
    <row r="6" spans="1:3" x14ac:dyDescent="0.3">
      <c r="A6" s="1">
        <v>43805</v>
      </c>
      <c r="B6" s="2">
        <v>2081.85</v>
      </c>
      <c r="C6" s="2">
        <v>1188.5</v>
      </c>
    </row>
    <row r="7" spans="1:3" x14ac:dyDescent="0.3">
      <c r="A7" s="1">
        <v>43808</v>
      </c>
      <c r="B7" s="2">
        <v>2088.65</v>
      </c>
      <c r="C7" s="2">
        <v>1188</v>
      </c>
    </row>
    <row r="8" spans="1:3" x14ac:dyDescent="0.3">
      <c r="A8" s="1">
        <v>43809</v>
      </c>
      <c r="B8" s="2">
        <v>2098</v>
      </c>
      <c r="C8" s="2">
        <v>1191.5</v>
      </c>
    </row>
    <row r="9" spans="1:3" x14ac:dyDescent="0.3">
      <c r="A9" s="1">
        <v>43810</v>
      </c>
      <c r="B9" s="2">
        <v>2105.62</v>
      </c>
      <c r="C9" s="2">
        <v>1190.7</v>
      </c>
    </row>
    <row r="10" spans="1:3" x14ac:dyDescent="0.3">
      <c r="A10" s="1">
        <v>43811</v>
      </c>
      <c r="B10" s="2">
        <v>2137.35</v>
      </c>
      <c r="C10" s="2">
        <v>1189</v>
      </c>
    </row>
    <row r="11" spans="1:3" x14ac:dyDescent="0.3">
      <c r="A11" s="1">
        <v>43812</v>
      </c>
      <c r="B11" s="2">
        <v>2170.25</v>
      </c>
      <c r="C11" s="2">
        <v>1172</v>
      </c>
    </row>
    <row r="12" spans="1:3" x14ac:dyDescent="0.3">
      <c r="A12" s="1">
        <v>43815</v>
      </c>
      <c r="B12" s="2">
        <v>2168.15</v>
      </c>
      <c r="C12" s="2">
        <v>1177</v>
      </c>
    </row>
    <row r="13" spans="1:3" x14ac:dyDescent="0.3">
      <c r="A13" s="1">
        <v>43816</v>
      </c>
      <c r="B13" s="2">
        <v>2195.6799999999998</v>
      </c>
      <c r="C13" s="2">
        <v>1169</v>
      </c>
    </row>
    <row r="14" spans="1:3" x14ac:dyDescent="0.3">
      <c r="A14" s="1">
        <v>43817</v>
      </c>
      <c r="B14" s="2">
        <v>2194.7600000000002</v>
      </c>
      <c r="C14" s="2">
        <v>1163</v>
      </c>
    </row>
    <row r="15" spans="1:3" x14ac:dyDescent="0.3">
      <c r="A15" s="1">
        <v>43818</v>
      </c>
      <c r="B15" s="2">
        <v>2196.56</v>
      </c>
      <c r="C15" s="2">
        <v>1166</v>
      </c>
    </row>
    <row r="16" spans="1:3" x14ac:dyDescent="0.3">
      <c r="A16" s="1">
        <v>43819</v>
      </c>
      <c r="B16" s="2">
        <v>2204.1799999999998</v>
      </c>
      <c r="C16" s="2">
        <v>1163.3</v>
      </c>
    </row>
    <row r="17" spans="1:3" x14ac:dyDescent="0.3">
      <c r="A17" s="1">
        <v>43822</v>
      </c>
      <c r="B17" s="2">
        <v>2203.71</v>
      </c>
      <c r="C17" s="2">
        <v>1159.7</v>
      </c>
    </row>
    <row r="18" spans="1:3" x14ac:dyDescent="0.3">
      <c r="A18" s="1">
        <v>43823</v>
      </c>
      <c r="B18" s="2">
        <v>2190.08</v>
      </c>
      <c r="C18" s="2">
        <v>1164</v>
      </c>
    </row>
    <row r="19" spans="1:3" x14ac:dyDescent="0.3">
      <c r="A19" s="1">
        <v>43825</v>
      </c>
      <c r="B19" s="2">
        <v>2197.9299999999998</v>
      </c>
      <c r="C19" s="2">
        <v>1161.5</v>
      </c>
    </row>
    <row r="20" spans="1:3" x14ac:dyDescent="0.3">
      <c r="A20" s="1">
        <v>43826</v>
      </c>
      <c r="B20" s="2">
        <v>2204.21</v>
      </c>
      <c r="C20" s="2">
        <v>1162.3</v>
      </c>
    </row>
    <row r="21" spans="1:3" x14ac:dyDescent="0.3">
      <c r="A21" s="1">
        <v>43829</v>
      </c>
      <c r="B21" s="2">
        <v>2197.67</v>
      </c>
      <c r="C21" s="2">
        <v>1160</v>
      </c>
    </row>
    <row r="22" spans="1:3" x14ac:dyDescent="0.3">
      <c r="A22" s="1">
        <v>43833</v>
      </c>
      <c r="B22" s="2">
        <v>2176.46</v>
      </c>
      <c r="C22" s="2">
        <v>1158.5</v>
      </c>
    </row>
    <row r="23" spans="1:3" x14ac:dyDescent="0.3">
      <c r="A23" s="1">
        <v>43836</v>
      </c>
      <c r="B23" s="2">
        <v>2155.0700000000002</v>
      </c>
      <c r="C23" s="2">
        <v>1168.0999999999999</v>
      </c>
    </row>
    <row r="24" spans="1:3" x14ac:dyDescent="0.3">
      <c r="A24" s="1">
        <v>43837</v>
      </c>
      <c r="B24" s="2">
        <v>2175.54</v>
      </c>
      <c r="C24" s="2">
        <v>1168.5</v>
      </c>
    </row>
    <row r="25" spans="1:3" x14ac:dyDescent="0.3">
      <c r="A25" s="1">
        <v>43838</v>
      </c>
      <c r="B25" s="2">
        <v>2151.31</v>
      </c>
      <c r="C25" s="2">
        <v>1170.3</v>
      </c>
    </row>
    <row r="26" spans="1:3" x14ac:dyDescent="0.3">
      <c r="A26" s="1">
        <v>43839</v>
      </c>
      <c r="B26" s="2">
        <v>2186.4499999999998</v>
      </c>
      <c r="C26" s="2">
        <v>1162</v>
      </c>
    </row>
    <row r="27" spans="1:3" x14ac:dyDescent="0.3">
      <c r="A27" s="1">
        <v>43840</v>
      </c>
      <c r="B27" s="2">
        <v>2206.39</v>
      </c>
      <c r="C27" s="2">
        <v>1159.2</v>
      </c>
    </row>
    <row r="28" spans="1:3" x14ac:dyDescent="0.3">
      <c r="A28" s="1">
        <v>43843</v>
      </c>
      <c r="B28" s="2">
        <v>2229.2600000000002</v>
      </c>
      <c r="C28" s="2">
        <v>1158.5</v>
      </c>
    </row>
    <row r="29" spans="1:3" x14ac:dyDescent="0.3">
      <c r="A29" s="1">
        <v>43844</v>
      </c>
      <c r="B29" s="2">
        <v>2238.88</v>
      </c>
      <c r="C29" s="2">
        <v>1153.7</v>
      </c>
    </row>
    <row r="30" spans="1:3" x14ac:dyDescent="0.3">
      <c r="A30" s="1">
        <v>43845</v>
      </c>
      <c r="B30" s="2">
        <v>2230.98</v>
      </c>
      <c r="C30" s="2">
        <v>1160</v>
      </c>
    </row>
    <row r="31" spans="1:3" x14ac:dyDescent="0.3">
      <c r="A31" s="1">
        <v>43846</v>
      </c>
      <c r="B31" s="2">
        <v>2248.0500000000002</v>
      </c>
      <c r="C31" s="2">
        <v>1159.5</v>
      </c>
    </row>
    <row r="32" spans="1:3" x14ac:dyDescent="0.3">
      <c r="A32" s="1">
        <v>43847</v>
      </c>
      <c r="B32" s="2">
        <v>2250.5700000000002</v>
      </c>
      <c r="C32" s="2">
        <v>1160</v>
      </c>
    </row>
    <row r="33" spans="1:3" x14ac:dyDescent="0.3">
      <c r="A33" s="1">
        <v>43850</v>
      </c>
      <c r="B33" s="2">
        <v>2262.64</v>
      </c>
      <c r="C33" s="2">
        <v>1161.5</v>
      </c>
    </row>
    <row r="34" spans="1:3" x14ac:dyDescent="0.3">
      <c r="A34" s="1">
        <v>43851</v>
      </c>
      <c r="B34" s="2">
        <v>2239.69</v>
      </c>
      <c r="C34" s="2">
        <v>1159.9000000000001</v>
      </c>
    </row>
    <row r="35" spans="1:3" x14ac:dyDescent="0.3">
      <c r="A35" s="1">
        <v>43852</v>
      </c>
      <c r="B35" s="2">
        <v>2267.25</v>
      </c>
      <c r="C35" s="2">
        <v>1169.3</v>
      </c>
    </row>
    <row r="36" spans="1:3" x14ac:dyDescent="0.3">
      <c r="A36" s="1">
        <v>43853</v>
      </c>
      <c r="B36" s="2">
        <v>2246.13</v>
      </c>
      <c r="C36" s="2">
        <v>1167</v>
      </c>
    </row>
    <row r="37" spans="1:3" x14ac:dyDescent="0.3">
      <c r="A37" s="1">
        <v>43858</v>
      </c>
      <c r="B37" s="2">
        <v>2176.7199999999998</v>
      </c>
      <c r="C37" s="2">
        <v>1178.5</v>
      </c>
    </row>
    <row r="38" spans="1:3" x14ac:dyDescent="0.3">
      <c r="A38" s="1">
        <v>43859</v>
      </c>
      <c r="B38" s="2">
        <v>2185.2800000000002</v>
      </c>
      <c r="C38" s="2">
        <v>1177.7</v>
      </c>
    </row>
    <row r="39" spans="1:3" x14ac:dyDescent="0.3">
      <c r="A39" s="1">
        <v>43860</v>
      </c>
      <c r="B39" s="2">
        <v>2148</v>
      </c>
      <c r="C39" s="2">
        <v>1179</v>
      </c>
    </row>
    <row r="40" spans="1:3" x14ac:dyDescent="0.3">
      <c r="A40" s="1">
        <v>43861</v>
      </c>
      <c r="B40" s="2">
        <v>2119.0100000000002</v>
      </c>
      <c r="C40" s="2">
        <v>1188.8</v>
      </c>
    </row>
    <row r="41" spans="1:3" x14ac:dyDescent="0.3">
      <c r="A41" s="1">
        <v>43864</v>
      </c>
      <c r="B41" s="2">
        <v>2118.88</v>
      </c>
      <c r="C41" s="2">
        <v>1197</v>
      </c>
    </row>
    <row r="42" spans="1:3" x14ac:dyDescent="0.3">
      <c r="A42" s="1">
        <v>43865</v>
      </c>
      <c r="B42" s="2">
        <v>2157.9</v>
      </c>
      <c r="C42" s="2">
        <v>1191.5999999999999</v>
      </c>
    </row>
    <row r="43" spans="1:3" x14ac:dyDescent="0.3">
      <c r="A43" s="1">
        <v>43866</v>
      </c>
      <c r="B43" s="2">
        <v>2165.63</v>
      </c>
      <c r="C43" s="2">
        <v>1184</v>
      </c>
    </row>
    <row r="44" spans="1:3" x14ac:dyDescent="0.3">
      <c r="A44" s="1">
        <v>43867</v>
      </c>
      <c r="B44" s="2">
        <v>2227.94</v>
      </c>
      <c r="C44" s="2">
        <v>1184</v>
      </c>
    </row>
    <row r="45" spans="1:3" x14ac:dyDescent="0.3">
      <c r="A45" s="1">
        <v>43868</v>
      </c>
      <c r="B45" s="2">
        <v>2211.9499999999998</v>
      </c>
      <c r="C45" s="2">
        <v>1185</v>
      </c>
    </row>
    <row r="46" spans="1:3" x14ac:dyDescent="0.3">
      <c r="A46" s="1">
        <v>43871</v>
      </c>
      <c r="B46" s="2">
        <v>2201.0700000000002</v>
      </c>
      <c r="C46" s="2">
        <v>1193</v>
      </c>
    </row>
    <row r="47" spans="1:3" x14ac:dyDescent="0.3">
      <c r="A47" s="1">
        <v>43872</v>
      </c>
      <c r="B47" s="2">
        <v>2223.12</v>
      </c>
      <c r="C47" s="2">
        <v>1187</v>
      </c>
    </row>
    <row r="48" spans="1:3" x14ac:dyDescent="0.3">
      <c r="A48" s="1">
        <v>43873</v>
      </c>
      <c r="B48" s="2">
        <v>2238.38</v>
      </c>
      <c r="C48" s="2">
        <v>1182</v>
      </c>
    </row>
    <row r="49" spans="1:3" x14ac:dyDescent="0.3">
      <c r="A49" s="1">
        <v>43874</v>
      </c>
      <c r="B49" s="2">
        <v>2232.96</v>
      </c>
      <c r="C49" s="2">
        <v>1182</v>
      </c>
    </row>
    <row r="50" spans="1:3" x14ac:dyDescent="0.3">
      <c r="A50" s="1">
        <v>43875</v>
      </c>
      <c r="B50" s="2">
        <v>2243.59</v>
      </c>
      <c r="C50" s="2">
        <v>1184</v>
      </c>
    </row>
    <row r="51" spans="1:3" x14ac:dyDescent="0.3">
      <c r="A51" s="1">
        <v>43878</v>
      </c>
      <c r="B51" s="2">
        <v>2242.17</v>
      </c>
      <c r="C51" s="2">
        <v>1183</v>
      </c>
    </row>
    <row r="52" spans="1:3" x14ac:dyDescent="0.3">
      <c r="A52" s="1">
        <v>43879</v>
      </c>
      <c r="B52" s="2">
        <v>2208.88</v>
      </c>
      <c r="C52" s="2">
        <v>1184.5</v>
      </c>
    </row>
    <row r="53" spans="1:3" x14ac:dyDescent="0.3">
      <c r="A53" s="1">
        <v>43880</v>
      </c>
      <c r="B53" s="2">
        <v>2210.34</v>
      </c>
      <c r="C53" s="2">
        <v>1190</v>
      </c>
    </row>
    <row r="54" spans="1:3" x14ac:dyDescent="0.3">
      <c r="A54" s="1">
        <v>43881</v>
      </c>
      <c r="B54" s="2">
        <v>2195.5</v>
      </c>
      <c r="C54" s="2">
        <v>1193</v>
      </c>
    </row>
    <row r="55" spans="1:3" x14ac:dyDescent="0.3">
      <c r="A55" s="1">
        <v>43885</v>
      </c>
      <c r="B55" s="2">
        <v>2079.04</v>
      </c>
      <c r="C55" s="2">
        <v>1215.5</v>
      </c>
    </row>
    <row r="56" spans="1:3" x14ac:dyDescent="0.3">
      <c r="A56" s="1">
        <v>43886</v>
      </c>
      <c r="B56" s="2">
        <v>2103.61</v>
      </c>
      <c r="C56" s="2">
        <v>1220.5</v>
      </c>
    </row>
    <row r="57" spans="1:3" x14ac:dyDescent="0.3">
      <c r="A57" s="1">
        <v>43887</v>
      </c>
      <c r="B57" s="2">
        <v>2076.77</v>
      </c>
      <c r="C57" s="2">
        <v>1216.5</v>
      </c>
    </row>
    <row r="58" spans="1:3" x14ac:dyDescent="0.3">
      <c r="A58" s="1">
        <v>43888</v>
      </c>
      <c r="B58" s="2">
        <v>2054.89</v>
      </c>
      <c r="C58" s="2">
        <v>1215</v>
      </c>
    </row>
    <row r="59" spans="1:3" x14ac:dyDescent="0.3">
      <c r="A59" s="1">
        <v>43889</v>
      </c>
      <c r="B59" s="2">
        <v>1987.01</v>
      </c>
      <c r="C59" s="2">
        <v>1215</v>
      </c>
    </row>
    <row r="60" spans="1:3" x14ac:dyDescent="0.3">
      <c r="A60" s="1">
        <v>43892</v>
      </c>
      <c r="B60" s="2">
        <v>2002.51</v>
      </c>
      <c r="C60" s="2">
        <v>1205</v>
      </c>
    </row>
    <row r="61" spans="1:3" x14ac:dyDescent="0.3">
      <c r="A61" s="1">
        <v>43893</v>
      </c>
      <c r="B61" s="2">
        <v>2014.15</v>
      </c>
      <c r="C61" s="2">
        <v>1191.5</v>
      </c>
    </row>
    <row r="62" spans="1:3" x14ac:dyDescent="0.3">
      <c r="A62" s="1">
        <v>43894</v>
      </c>
      <c r="B62" s="2">
        <v>2059.33</v>
      </c>
      <c r="C62" s="2">
        <v>1187</v>
      </c>
    </row>
    <row r="63" spans="1:3" x14ac:dyDescent="0.3">
      <c r="A63" s="1">
        <v>43895</v>
      </c>
      <c r="B63" s="2">
        <v>2085.2600000000002</v>
      </c>
      <c r="C63" s="2">
        <v>1187</v>
      </c>
    </row>
    <row r="64" spans="1:3" x14ac:dyDescent="0.3">
      <c r="A64" s="1">
        <v>43896</v>
      </c>
      <c r="B64" s="2">
        <v>2040.22</v>
      </c>
      <c r="C64" s="2">
        <v>1190.5</v>
      </c>
    </row>
    <row r="65" spans="1:3" x14ac:dyDescent="0.3">
      <c r="A65" s="1">
        <v>43899</v>
      </c>
      <c r="B65" s="2">
        <v>1954.77</v>
      </c>
      <c r="C65" s="2">
        <v>1192.9000000000001</v>
      </c>
    </row>
    <row r="66" spans="1:3" x14ac:dyDescent="0.3">
      <c r="A66" s="1">
        <v>43900</v>
      </c>
      <c r="B66" s="2">
        <v>1962.93</v>
      </c>
      <c r="C66" s="2">
        <v>1203</v>
      </c>
    </row>
    <row r="67" spans="1:3" x14ac:dyDescent="0.3">
      <c r="A67" s="1">
        <v>43901</v>
      </c>
      <c r="B67" s="2">
        <v>1908.27</v>
      </c>
      <c r="C67" s="2">
        <v>1188</v>
      </c>
    </row>
    <row r="68" spans="1:3" x14ac:dyDescent="0.3">
      <c r="A68" s="1">
        <v>43902</v>
      </c>
      <c r="B68" s="2">
        <v>1834.33</v>
      </c>
      <c r="C68" s="2">
        <v>1190.7</v>
      </c>
    </row>
    <row r="69" spans="1:3" x14ac:dyDescent="0.3">
      <c r="A69" s="1">
        <v>43903</v>
      </c>
      <c r="B69" s="2">
        <v>1771.44</v>
      </c>
      <c r="C69" s="2">
        <v>1215</v>
      </c>
    </row>
    <row r="70" spans="1:3" x14ac:dyDescent="0.3">
      <c r="A70" s="1">
        <v>43906</v>
      </c>
      <c r="B70" s="2">
        <v>1714.86</v>
      </c>
      <c r="C70" s="2">
        <v>1211</v>
      </c>
    </row>
    <row r="71" spans="1:3" x14ac:dyDescent="0.3">
      <c r="A71" s="1">
        <v>43907</v>
      </c>
      <c r="B71" s="2">
        <v>1672.44</v>
      </c>
      <c r="C71" s="2">
        <v>1231</v>
      </c>
    </row>
    <row r="72" spans="1:3" x14ac:dyDescent="0.3">
      <c r="A72" s="1">
        <v>43908</v>
      </c>
      <c r="B72" s="2">
        <v>1591.2</v>
      </c>
      <c r="C72" s="2">
        <v>1243</v>
      </c>
    </row>
    <row r="73" spans="1:3" x14ac:dyDescent="0.3">
      <c r="A73" s="1">
        <v>43909</v>
      </c>
      <c r="B73" s="2">
        <v>1457.64</v>
      </c>
      <c r="C73" s="2">
        <v>1257</v>
      </c>
    </row>
    <row r="74" spans="1:3" x14ac:dyDescent="0.3">
      <c r="A74" s="1">
        <v>43910</v>
      </c>
      <c r="B74" s="2">
        <v>1566.15</v>
      </c>
      <c r="C74" s="2">
        <v>1253.7</v>
      </c>
    </row>
    <row r="75" spans="1:3" x14ac:dyDescent="0.3">
      <c r="A75" s="1">
        <v>43913</v>
      </c>
      <c r="B75" s="2">
        <v>1482.46</v>
      </c>
      <c r="C75" s="2">
        <v>1265</v>
      </c>
    </row>
    <row r="76" spans="1:3" x14ac:dyDescent="0.3">
      <c r="A76" s="1">
        <v>43914</v>
      </c>
      <c r="B76" s="2">
        <v>1609.97</v>
      </c>
      <c r="C76" s="2">
        <v>1265</v>
      </c>
    </row>
    <row r="77" spans="1:3" x14ac:dyDescent="0.3">
      <c r="A77" s="1">
        <v>43915</v>
      </c>
      <c r="B77" s="2">
        <v>1704.76</v>
      </c>
      <c r="C77" s="2">
        <v>1235.7</v>
      </c>
    </row>
    <row r="78" spans="1:3" x14ac:dyDescent="0.3">
      <c r="A78" s="1">
        <v>43916</v>
      </c>
      <c r="B78" s="2">
        <v>1686.24</v>
      </c>
      <c r="C78" s="2">
        <v>1226</v>
      </c>
    </row>
    <row r="79" spans="1:3" x14ac:dyDescent="0.3">
      <c r="A79" s="1">
        <v>43917</v>
      </c>
      <c r="B79" s="2">
        <v>1717.73</v>
      </c>
      <c r="C79" s="2">
        <v>1214</v>
      </c>
    </row>
    <row r="80" spans="1:3" x14ac:dyDescent="0.3">
      <c r="A80" s="1">
        <v>43920</v>
      </c>
      <c r="B80" s="2">
        <v>1717.12</v>
      </c>
      <c r="C80" s="2">
        <v>1216</v>
      </c>
    </row>
    <row r="81" spans="1:3" x14ac:dyDescent="0.3">
      <c r="A81" s="1">
        <v>43921</v>
      </c>
      <c r="B81" s="2">
        <v>1754.64</v>
      </c>
      <c r="C81" s="2">
        <v>1223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AFCD-234D-4EB5-8145-10FA8729EE18}">
  <dimension ref="A1:B10"/>
  <sheetViews>
    <sheetView workbookViewId="0">
      <selection activeCell="A13" sqref="A13"/>
    </sheetView>
  </sheetViews>
  <sheetFormatPr defaultRowHeight="16.5" x14ac:dyDescent="0.3"/>
  <sheetData>
    <row r="1" spans="1:2" x14ac:dyDescent="0.3">
      <c r="A1" t="s">
        <v>2</v>
      </c>
      <c r="B1">
        <v>406.21538461538461</v>
      </c>
    </row>
    <row r="2" spans="1:2" x14ac:dyDescent="0.3">
      <c r="A2" t="s">
        <v>3</v>
      </c>
      <c r="B2">
        <v>10000</v>
      </c>
    </row>
    <row r="3" spans="1:2" x14ac:dyDescent="0.3">
      <c r="A3" t="s">
        <v>4</v>
      </c>
      <c r="B3">
        <f>B1*B2</f>
        <v>4062153.846153846</v>
      </c>
    </row>
    <row r="5" spans="1:2" x14ac:dyDescent="0.3">
      <c r="A5" t="s">
        <v>5</v>
      </c>
      <c r="B5">
        <v>300</v>
      </c>
    </row>
    <row r="6" spans="1:2" x14ac:dyDescent="0.3">
      <c r="A6" t="s">
        <v>6</v>
      </c>
      <c r="B6">
        <v>250000</v>
      </c>
    </row>
    <row r="7" spans="1:2" x14ac:dyDescent="0.3">
      <c r="A7" t="s">
        <v>7</v>
      </c>
      <c r="B7">
        <f>B5*B2+B6</f>
        <v>3250000</v>
      </c>
    </row>
    <row r="9" spans="1:2" x14ac:dyDescent="0.3">
      <c r="A9" t="s">
        <v>8</v>
      </c>
      <c r="B9">
        <f>B3-B7</f>
        <v>812153.84615384601</v>
      </c>
    </row>
    <row r="10" spans="1:2" x14ac:dyDescent="0.3">
      <c r="A10" t="s">
        <v>9</v>
      </c>
      <c r="B10" s="3">
        <f>B9/B3</f>
        <v>0.19993182851083166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E7E7-5605-4495-8B10-E2B545EA2A69}">
  <dimension ref="A1:E13"/>
  <sheetViews>
    <sheetView workbookViewId="0">
      <selection activeCell="B9" sqref="B9"/>
    </sheetView>
  </sheetViews>
  <sheetFormatPr defaultRowHeight="16.5" x14ac:dyDescent="0.3"/>
  <cols>
    <col min="1" max="1" width="22.75" bestFit="1" customWidth="1"/>
    <col min="2" max="4" width="14.75" customWidth="1"/>
    <col min="5" max="5" width="14.125" customWidth="1"/>
  </cols>
  <sheetData>
    <row r="1" spans="1:5" x14ac:dyDescent="0.3">
      <c r="A1" s="5"/>
      <c r="B1" s="5" t="s">
        <v>10</v>
      </c>
      <c r="C1" s="5" t="s">
        <v>11</v>
      </c>
      <c r="D1" s="5" t="s">
        <v>13</v>
      </c>
      <c r="E1" s="5" t="s">
        <v>12</v>
      </c>
    </row>
    <row r="2" spans="1:5" x14ac:dyDescent="0.3">
      <c r="A2" s="5" t="s">
        <v>14</v>
      </c>
      <c r="B2" s="5">
        <v>5</v>
      </c>
      <c r="C2" s="5">
        <v>20</v>
      </c>
      <c r="D2" s="5">
        <v>10</v>
      </c>
      <c r="E2" s="5">
        <v>1500</v>
      </c>
    </row>
    <row r="3" spans="1:5" x14ac:dyDescent="0.3">
      <c r="A3" s="5" t="s">
        <v>15</v>
      </c>
      <c r="B3" s="5">
        <v>10</v>
      </c>
      <c r="C3" s="5">
        <v>15</v>
      </c>
      <c r="D3" s="5">
        <v>12</v>
      </c>
      <c r="E3" s="5">
        <v>1200</v>
      </c>
    </row>
    <row r="4" spans="1:5" x14ac:dyDescent="0.3">
      <c r="A4" s="5" t="s">
        <v>16</v>
      </c>
      <c r="B4" s="5">
        <v>45000</v>
      </c>
      <c r="C4" s="5">
        <v>80000</v>
      </c>
      <c r="D4" s="5">
        <v>60000</v>
      </c>
      <c r="E4" s="5"/>
    </row>
    <row r="5" spans="1:5" x14ac:dyDescent="0.3">
      <c r="A5" s="4"/>
      <c r="B5" s="4"/>
      <c r="C5" s="4"/>
      <c r="D5" s="4"/>
      <c r="E5" s="4"/>
    </row>
    <row r="6" spans="1:5" x14ac:dyDescent="0.3">
      <c r="A6" s="4" t="s">
        <v>17</v>
      </c>
      <c r="B6" s="4">
        <v>0</v>
      </c>
      <c r="C6" s="4"/>
      <c r="D6" s="4"/>
      <c r="E6" s="4"/>
    </row>
    <row r="7" spans="1:5" x14ac:dyDescent="0.3">
      <c r="A7" s="4" t="s">
        <v>18</v>
      </c>
      <c r="B7" s="6">
        <v>67</v>
      </c>
      <c r="C7" s="4"/>
      <c r="D7" s="4"/>
      <c r="E7" s="4"/>
    </row>
    <row r="8" spans="1:5" x14ac:dyDescent="0.3">
      <c r="A8" s="4" t="s">
        <v>19</v>
      </c>
      <c r="B8" s="6">
        <v>16</v>
      </c>
      <c r="C8" s="4"/>
      <c r="D8" s="4"/>
      <c r="E8" s="4"/>
    </row>
    <row r="9" spans="1:5" x14ac:dyDescent="0.3">
      <c r="A9" s="4"/>
      <c r="B9" s="4"/>
      <c r="C9" s="4"/>
      <c r="D9" s="4"/>
      <c r="E9" s="4"/>
    </row>
    <row r="10" spans="1:5" x14ac:dyDescent="0.3">
      <c r="A10" s="4" t="s">
        <v>20</v>
      </c>
      <c r="B10" s="4">
        <f>B6*B2+B7*C2+B8*D2</f>
        <v>1500</v>
      </c>
      <c r="C10" s="4"/>
      <c r="D10" s="4"/>
      <c r="E10" s="4"/>
    </row>
    <row r="11" spans="1:5" x14ac:dyDescent="0.3">
      <c r="A11" s="4" t="s">
        <v>21</v>
      </c>
      <c r="B11" s="4">
        <f>B6*B3+B7*C3+B8*D3</f>
        <v>1197</v>
      </c>
      <c r="C11" s="4"/>
      <c r="D11" s="4"/>
      <c r="E11" s="4"/>
    </row>
    <row r="12" spans="1:5" x14ac:dyDescent="0.3">
      <c r="A12" s="4"/>
      <c r="B12" s="4"/>
      <c r="C12" s="4"/>
      <c r="D12" s="4"/>
      <c r="E12" s="4"/>
    </row>
    <row r="13" spans="1:5" x14ac:dyDescent="0.3">
      <c r="A13" s="4" t="s">
        <v>22</v>
      </c>
      <c r="B13" s="4">
        <f>B6*B4+B7*C4+B8*D4</f>
        <v>6320000</v>
      </c>
      <c r="C13" s="4"/>
      <c r="D13" s="4"/>
      <c r="E13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7E37-3E87-41B0-88A0-F44F93ED26DC}">
  <dimension ref="A1:A8"/>
  <sheetViews>
    <sheetView workbookViewId="0">
      <selection activeCell="A8" sqref="A8"/>
    </sheetView>
  </sheetViews>
  <sheetFormatPr defaultRowHeight="16.5" x14ac:dyDescent="0.3"/>
  <sheetData>
    <row r="1" spans="1:1" x14ac:dyDescent="0.3">
      <c r="A1">
        <f>_xlfn.BINOM.DIST(0, 20, 0.2, TRUE)</f>
        <v>1.1529215046068471E-2</v>
      </c>
    </row>
    <row r="2" spans="1:1" x14ac:dyDescent="0.3">
      <c r="A2">
        <f>1-_xlfn.BINOM.DIST(7, 20, 0.2, TRUE)</f>
        <v>3.21426630808751E-2</v>
      </c>
    </row>
    <row r="3" spans="1:1" x14ac:dyDescent="0.3">
      <c r="A3">
        <f>_xlfn.BINOM.DIST(6, 20, 0.2, TRUE) - _xlfn.BINOM.DIST(3, 20, 0.2, TRUE)</f>
        <v>0.50185862447603125</v>
      </c>
    </row>
    <row r="5" spans="1:1" x14ac:dyDescent="0.3">
      <c r="A5">
        <f>_xlfn.NORM.DIST(11, 14, 2, TRUE)</f>
        <v>6.6807201268858057E-2</v>
      </c>
    </row>
    <row r="7" spans="1:1" x14ac:dyDescent="0.3">
      <c r="A7">
        <f>_xlfn.NORM.DIST(80, 90, 20, TRUE)</f>
        <v>0.30853753872598688</v>
      </c>
    </row>
    <row r="8" spans="1:1" x14ac:dyDescent="0.3">
      <c r="A8">
        <f>_xlfn.NORM.INV(0.05, 90, 20)</f>
        <v>57.102927460970548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3005-DCE7-4613-BA60-9711137D59CA}">
  <dimension ref="A1:L103"/>
  <sheetViews>
    <sheetView workbookViewId="0"/>
  </sheetViews>
  <sheetFormatPr defaultRowHeight="16.5" x14ac:dyDescent="0.3"/>
  <sheetData>
    <row r="1" spans="1:12" x14ac:dyDescent="0.3">
      <c r="A1" t="s">
        <v>23</v>
      </c>
    </row>
    <row r="2" spans="1:12" x14ac:dyDescent="0.3">
      <c r="A2" t="s">
        <v>24</v>
      </c>
    </row>
    <row r="3" spans="1:12" x14ac:dyDescent="0.3">
      <c r="A3" t="s">
        <v>25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 t="s">
        <v>26</v>
      </c>
    </row>
    <row r="4" spans="1:12" x14ac:dyDescent="0.3">
      <c r="A4">
        <v>1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f>SUM(B4:K4)</f>
        <v>4</v>
      </c>
    </row>
    <row r="5" spans="1:12" x14ac:dyDescent="0.3">
      <c r="A5">
        <v>2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f t="shared" ref="L5:L68" si="0">SUM(B5:K5)</f>
        <v>7</v>
      </c>
    </row>
    <row r="6" spans="1:12" x14ac:dyDescent="0.3">
      <c r="A6">
        <v>3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f t="shared" si="0"/>
        <v>5</v>
      </c>
    </row>
    <row r="7" spans="1:12" x14ac:dyDescent="0.3">
      <c r="A7">
        <v>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f t="shared" si="0"/>
        <v>3</v>
      </c>
    </row>
    <row r="8" spans="1:12" x14ac:dyDescent="0.3">
      <c r="A8">
        <v>5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f t="shared" si="0"/>
        <v>7</v>
      </c>
    </row>
    <row r="9" spans="1:12" x14ac:dyDescent="0.3">
      <c r="A9">
        <v>6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f t="shared" si="0"/>
        <v>4</v>
      </c>
    </row>
    <row r="10" spans="1:12" x14ac:dyDescent="0.3">
      <c r="A10">
        <v>7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f t="shared" si="0"/>
        <v>9</v>
      </c>
    </row>
    <row r="11" spans="1:12" x14ac:dyDescent="0.3">
      <c r="A11">
        <v>8</v>
      </c>
      <c r="B11">
        <v>0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f t="shared" si="0"/>
        <v>7</v>
      </c>
    </row>
    <row r="12" spans="1:12" x14ac:dyDescent="0.3">
      <c r="A12">
        <v>9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f t="shared" si="0"/>
        <v>9</v>
      </c>
    </row>
    <row r="13" spans="1:12" x14ac:dyDescent="0.3">
      <c r="A13">
        <v>10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f t="shared" si="0"/>
        <v>6</v>
      </c>
    </row>
    <row r="14" spans="1:12" x14ac:dyDescent="0.3">
      <c r="A14">
        <v>11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f t="shared" si="0"/>
        <v>7</v>
      </c>
    </row>
    <row r="15" spans="1:12" x14ac:dyDescent="0.3">
      <c r="A15">
        <v>12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f t="shared" si="0"/>
        <v>5</v>
      </c>
    </row>
    <row r="16" spans="1:12" x14ac:dyDescent="0.3">
      <c r="A16">
        <v>13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f t="shared" si="0"/>
        <v>3</v>
      </c>
    </row>
    <row r="17" spans="1:12" x14ac:dyDescent="0.3">
      <c r="A17">
        <v>14</v>
      </c>
      <c r="B17">
        <v>1</v>
      </c>
      <c r="C17">
        <v>0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  <c r="J17">
        <v>1</v>
      </c>
      <c r="K17">
        <v>0</v>
      </c>
      <c r="L17">
        <f t="shared" si="0"/>
        <v>5</v>
      </c>
    </row>
    <row r="18" spans="1:12" x14ac:dyDescent="0.3">
      <c r="A18">
        <v>15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f t="shared" si="0"/>
        <v>4</v>
      </c>
    </row>
    <row r="19" spans="1:12" x14ac:dyDescent="0.3">
      <c r="A19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f t="shared" si="0"/>
        <v>2</v>
      </c>
    </row>
    <row r="20" spans="1:12" x14ac:dyDescent="0.3">
      <c r="A20">
        <v>17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f t="shared" si="0"/>
        <v>4</v>
      </c>
    </row>
    <row r="21" spans="1:12" x14ac:dyDescent="0.3">
      <c r="A21">
        <v>18</v>
      </c>
      <c r="B21">
        <v>1</v>
      </c>
      <c r="C21">
        <v>0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f t="shared" si="0"/>
        <v>5</v>
      </c>
    </row>
    <row r="22" spans="1:12" x14ac:dyDescent="0.3">
      <c r="A22">
        <v>19</v>
      </c>
      <c r="B22">
        <v>0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f t="shared" si="0"/>
        <v>4</v>
      </c>
    </row>
    <row r="23" spans="1:12" x14ac:dyDescent="0.3">
      <c r="A23">
        <v>20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f t="shared" si="0"/>
        <v>7</v>
      </c>
    </row>
    <row r="24" spans="1:12" x14ac:dyDescent="0.3">
      <c r="A24">
        <v>21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f t="shared" si="0"/>
        <v>7</v>
      </c>
    </row>
    <row r="25" spans="1:12" x14ac:dyDescent="0.3">
      <c r="A25">
        <v>22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f t="shared" si="0"/>
        <v>4</v>
      </c>
    </row>
    <row r="26" spans="1:12" x14ac:dyDescent="0.3">
      <c r="A26">
        <v>23</v>
      </c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f t="shared" si="0"/>
        <v>5</v>
      </c>
    </row>
    <row r="27" spans="1:12" x14ac:dyDescent="0.3">
      <c r="A27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f t="shared" si="0"/>
        <v>2</v>
      </c>
    </row>
    <row r="28" spans="1:12" x14ac:dyDescent="0.3">
      <c r="A28">
        <v>25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f t="shared" si="0"/>
        <v>5</v>
      </c>
    </row>
    <row r="29" spans="1:12" x14ac:dyDescent="0.3">
      <c r="A29">
        <v>26</v>
      </c>
      <c r="B29">
        <v>0</v>
      </c>
      <c r="C29">
        <v>1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f t="shared" si="0"/>
        <v>7</v>
      </c>
    </row>
    <row r="30" spans="1:12" x14ac:dyDescent="0.3">
      <c r="A30">
        <v>27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f t="shared" si="0"/>
        <v>6</v>
      </c>
    </row>
    <row r="31" spans="1:12" x14ac:dyDescent="0.3">
      <c r="A31">
        <v>28</v>
      </c>
      <c r="B31">
        <v>0</v>
      </c>
      <c r="C31">
        <v>0</v>
      </c>
      <c r="D31">
        <v>1</v>
      </c>
      <c r="E31">
        <v>0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f t="shared" si="0"/>
        <v>6</v>
      </c>
    </row>
    <row r="32" spans="1:12" x14ac:dyDescent="0.3">
      <c r="A32">
        <v>29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f t="shared" si="0"/>
        <v>5</v>
      </c>
    </row>
    <row r="33" spans="1:12" x14ac:dyDescent="0.3">
      <c r="A33">
        <v>30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f t="shared" si="0"/>
        <v>4</v>
      </c>
    </row>
    <row r="34" spans="1:12" x14ac:dyDescent="0.3">
      <c r="A34">
        <v>31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f t="shared" si="0"/>
        <v>5</v>
      </c>
    </row>
    <row r="35" spans="1:12" x14ac:dyDescent="0.3">
      <c r="A35">
        <v>32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0</v>
      </c>
      <c r="L35">
        <f t="shared" si="0"/>
        <v>5</v>
      </c>
    </row>
    <row r="36" spans="1:12" x14ac:dyDescent="0.3">
      <c r="A36">
        <v>33</v>
      </c>
      <c r="B36">
        <v>0</v>
      </c>
      <c r="C36">
        <v>1</v>
      </c>
      <c r="D36">
        <v>0</v>
      </c>
      <c r="E36">
        <v>1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f t="shared" si="0"/>
        <v>4</v>
      </c>
    </row>
    <row r="37" spans="1:12" x14ac:dyDescent="0.3">
      <c r="A37">
        <v>34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f t="shared" si="0"/>
        <v>5</v>
      </c>
    </row>
    <row r="38" spans="1:12" x14ac:dyDescent="0.3">
      <c r="A38">
        <v>35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f t="shared" si="0"/>
        <v>7</v>
      </c>
    </row>
    <row r="39" spans="1:12" x14ac:dyDescent="0.3">
      <c r="A39">
        <v>36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f t="shared" si="0"/>
        <v>3</v>
      </c>
    </row>
    <row r="40" spans="1:12" x14ac:dyDescent="0.3">
      <c r="A40">
        <v>37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f t="shared" si="0"/>
        <v>4</v>
      </c>
    </row>
    <row r="41" spans="1:12" x14ac:dyDescent="0.3">
      <c r="A41">
        <v>38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f t="shared" si="0"/>
        <v>4</v>
      </c>
    </row>
    <row r="42" spans="1:12" x14ac:dyDescent="0.3">
      <c r="A42">
        <v>39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f t="shared" si="0"/>
        <v>4</v>
      </c>
    </row>
    <row r="43" spans="1:12" x14ac:dyDescent="0.3">
      <c r="A43">
        <v>40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f t="shared" si="0"/>
        <v>7</v>
      </c>
    </row>
    <row r="44" spans="1:12" x14ac:dyDescent="0.3">
      <c r="A44">
        <v>41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0</v>
      </c>
      <c r="L44">
        <f t="shared" si="0"/>
        <v>4</v>
      </c>
    </row>
    <row r="45" spans="1:12" x14ac:dyDescent="0.3">
      <c r="A45">
        <v>42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f t="shared" si="0"/>
        <v>4</v>
      </c>
    </row>
    <row r="46" spans="1:12" x14ac:dyDescent="0.3">
      <c r="A46">
        <v>43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f t="shared" si="0"/>
        <v>4</v>
      </c>
    </row>
    <row r="47" spans="1:12" x14ac:dyDescent="0.3">
      <c r="A47">
        <v>44</v>
      </c>
      <c r="B47">
        <v>0</v>
      </c>
      <c r="C47">
        <v>0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f t="shared" si="0"/>
        <v>4</v>
      </c>
    </row>
    <row r="48" spans="1:12" x14ac:dyDescent="0.3">
      <c r="A48">
        <v>45</v>
      </c>
      <c r="B48">
        <v>0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1</v>
      </c>
      <c r="K48">
        <v>1</v>
      </c>
      <c r="L48">
        <f t="shared" si="0"/>
        <v>6</v>
      </c>
    </row>
    <row r="49" spans="1:12" x14ac:dyDescent="0.3">
      <c r="A49">
        <v>46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f t="shared" si="0"/>
        <v>9</v>
      </c>
    </row>
    <row r="50" spans="1:12" x14ac:dyDescent="0.3">
      <c r="A50">
        <v>47</v>
      </c>
      <c r="B50">
        <v>0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f t="shared" si="0"/>
        <v>5</v>
      </c>
    </row>
    <row r="51" spans="1:12" x14ac:dyDescent="0.3">
      <c r="A51">
        <v>48</v>
      </c>
      <c r="B51">
        <v>1</v>
      </c>
      <c r="C51">
        <v>0</v>
      </c>
      <c r="D51">
        <v>0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f t="shared" si="0"/>
        <v>7</v>
      </c>
    </row>
    <row r="52" spans="1:12" x14ac:dyDescent="0.3">
      <c r="A52">
        <v>49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f t="shared" si="0"/>
        <v>8</v>
      </c>
    </row>
    <row r="53" spans="1:12" x14ac:dyDescent="0.3">
      <c r="A53">
        <v>50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f t="shared" si="0"/>
        <v>3</v>
      </c>
    </row>
    <row r="54" spans="1:12" x14ac:dyDescent="0.3">
      <c r="A54">
        <v>51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f t="shared" si="0"/>
        <v>9</v>
      </c>
    </row>
    <row r="55" spans="1:12" x14ac:dyDescent="0.3">
      <c r="A55">
        <v>52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f t="shared" si="0"/>
        <v>5</v>
      </c>
    </row>
    <row r="56" spans="1:12" x14ac:dyDescent="0.3">
      <c r="A56">
        <v>53</v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1</v>
      </c>
      <c r="K56">
        <v>0</v>
      </c>
      <c r="L56">
        <f t="shared" si="0"/>
        <v>5</v>
      </c>
    </row>
    <row r="57" spans="1:12" x14ac:dyDescent="0.3">
      <c r="A57">
        <v>54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f t="shared" si="0"/>
        <v>5</v>
      </c>
    </row>
    <row r="58" spans="1:12" x14ac:dyDescent="0.3">
      <c r="A58">
        <v>55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</v>
      </c>
      <c r="J58">
        <v>1</v>
      </c>
      <c r="K58">
        <v>0</v>
      </c>
      <c r="L58">
        <f t="shared" si="0"/>
        <v>6</v>
      </c>
    </row>
    <row r="59" spans="1:12" x14ac:dyDescent="0.3">
      <c r="A59">
        <v>56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f t="shared" si="0"/>
        <v>2</v>
      </c>
    </row>
    <row r="60" spans="1:12" x14ac:dyDescent="0.3">
      <c r="A60">
        <v>57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f t="shared" si="0"/>
        <v>3</v>
      </c>
    </row>
    <row r="61" spans="1:12" x14ac:dyDescent="0.3">
      <c r="A61">
        <v>58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1</v>
      </c>
      <c r="L61">
        <f t="shared" si="0"/>
        <v>4</v>
      </c>
    </row>
    <row r="62" spans="1:12" x14ac:dyDescent="0.3">
      <c r="A62">
        <v>59</v>
      </c>
      <c r="B62">
        <v>0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f t="shared" si="0"/>
        <v>3</v>
      </c>
    </row>
    <row r="63" spans="1:12" x14ac:dyDescent="0.3">
      <c r="A63">
        <v>60</v>
      </c>
      <c r="B63">
        <v>1</v>
      </c>
      <c r="C63">
        <v>0</v>
      </c>
      <c r="D63">
        <v>0</v>
      </c>
      <c r="E63">
        <v>1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f t="shared" si="0"/>
        <v>4</v>
      </c>
    </row>
    <row r="64" spans="1:12" x14ac:dyDescent="0.3">
      <c r="A64">
        <v>61</v>
      </c>
      <c r="B64">
        <v>0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0</v>
      </c>
      <c r="L64">
        <f t="shared" si="0"/>
        <v>6</v>
      </c>
    </row>
    <row r="65" spans="1:12" x14ac:dyDescent="0.3">
      <c r="A65">
        <v>62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f t="shared" si="0"/>
        <v>4</v>
      </c>
    </row>
    <row r="66" spans="1:12" x14ac:dyDescent="0.3">
      <c r="A66">
        <v>63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f t="shared" si="0"/>
        <v>6</v>
      </c>
    </row>
    <row r="67" spans="1:12" x14ac:dyDescent="0.3">
      <c r="A67">
        <v>64</v>
      </c>
      <c r="B67">
        <v>0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>
        <v>0</v>
      </c>
      <c r="L67">
        <f t="shared" si="0"/>
        <v>6</v>
      </c>
    </row>
    <row r="68" spans="1:12" x14ac:dyDescent="0.3">
      <c r="A68">
        <v>65</v>
      </c>
      <c r="B68">
        <v>1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f t="shared" si="0"/>
        <v>3</v>
      </c>
    </row>
    <row r="69" spans="1:12" x14ac:dyDescent="0.3">
      <c r="A69">
        <v>66</v>
      </c>
      <c r="B69">
        <v>0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f t="shared" ref="L69:L103" si="1">SUM(B69:K69)</f>
        <v>4</v>
      </c>
    </row>
    <row r="70" spans="1:12" x14ac:dyDescent="0.3">
      <c r="A70">
        <v>67</v>
      </c>
      <c r="B70">
        <v>1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0</v>
      </c>
      <c r="K70">
        <v>1</v>
      </c>
      <c r="L70">
        <f t="shared" si="1"/>
        <v>5</v>
      </c>
    </row>
    <row r="71" spans="1:12" x14ac:dyDescent="0.3">
      <c r="A71">
        <v>68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f t="shared" si="1"/>
        <v>7</v>
      </c>
    </row>
    <row r="72" spans="1:12" x14ac:dyDescent="0.3">
      <c r="A72">
        <v>69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f t="shared" si="1"/>
        <v>3</v>
      </c>
    </row>
    <row r="73" spans="1:12" x14ac:dyDescent="0.3">
      <c r="A73">
        <v>70</v>
      </c>
      <c r="B73">
        <v>0</v>
      </c>
      <c r="C73">
        <v>0</v>
      </c>
      <c r="D73">
        <v>1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f t="shared" si="1"/>
        <v>3</v>
      </c>
    </row>
    <row r="74" spans="1:12" x14ac:dyDescent="0.3">
      <c r="A74">
        <v>71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f t="shared" si="1"/>
        <v>3</v>
      </c>
    </row>
    <row r="75" spans="1:12" x14ac:dyDescent="0.3">
      <c r="A75">
        <v>72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L75">
        <f t="shared" si="1"/>
        <v>6</v>
      </c>
    </row>
    <row r="76" spans="1:12" x14ac:dyDescent="0.3">
      <c r="A76">
        <v>73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1"/>
        <v>2</v>
      </c>
    </row>
    <row r="77" spans="1:12" x14ac:dyDescent="0.3">
      <c r="A77">
        <v>74</v>
      </c>
      <c r="B77">
        <v>0</v>
      </c>
      <c r="C77">
        <v>1</v>
      </c>
      <c r="D77">
        <v>0</v>
      </c>
      <c r="E77">
        <v>1</v>
      </c>
      <c r="F77">
        <v>1</v>
      </c>
      <c r="G77">
        <v>1</v>
      </c>
      <c r="H77">
        <v>0</v>
      </c>
      <c r="I77">
        <v>0</v>
      </c>
      <c r="J77">
        <v>0</v>
      </c>
      <c r="K77">
        <v>1</v>
      </c>
      <c r="L77">
        <f t="shared" si="1"/>
        <v>5</v>
      </c>
    </row>
    <row r="78" spans="1:12" x14ac:dyDescent="0.3">
      <c r="A78">
        <v>75</v>
      </c>
      <c r="B78">
        <v>1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f t="shared" si="1"/>
        <v>4</v>
      </c>
    </row>
    <row r="79" spans="1:12" x14ac:dyDescent="0.3">
      <c r="A79">
        <v>76</v>
      </c>
      <c r="B79">
        <v>0</v>
      </c>
      <c r="C79">
        <v>1</v>
      </c>
      <c r="D79">
        <v>1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f t="shared" si="1"/>
        <v>6</v>
      </c>
    </row>
    <row r="80" spans="1:12" x14ac:dyDescent="0.3">
      <c r="A80">
        <v>77</v>
      </c>
      <c r="B80">
        <v>0</v>
      </c>
      <c r="C80">
        <v>0</v>
      </c>
      <c r="D80">
        <v>0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f t="shared" si="1"/>
        <v>6</v>
      </c>
    </row>
    <row r="81" spans="1:12" x14ac:dyDescent="0.3">
      <c r="A81">
        <v>78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1</v>
      </c>
      <c r="L81">
        <f t="shared" si="1"/>
        <v>3</v>
      </c>
    </row>
    <row r="82" spans="1:12" x14ac:dyDescent="0.3">
      <c r="A82">
        <v>79</v>
      </c>
      <c r="B82">
        <v>1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>
        <f t="shared" si="1"/>
        <v>7</v>
      </c>
    </row>
    <row r="83" spans="1:12" x14ac:dyDescent="0.3">
      <c r="A83">
        <v>80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H83">
        <v>1</v>
      </c>
      <c r="I83">
        <v>1</v>
      </c>
      <c r="J83">
        <v>1</v>
      </c>
      <c r="K83">
        <v>0</v>
      </c>
      <c r="L83">
        <f t="shared" si="1"/>
        <v>6</v>
      </c>
    </row>
    <row r="84" spans="1:12" x14ac:dyDescent="0.3">
      <c r="A84">
        <v>81</v>
      </c>
      <c r="B84">
        <v>1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0</v>
      </c>
      <c r="J84">
        <v>0</v>
      </c>
      <c r="K84">
        <v>1</v>
      </c>
      <c r="L84">
        <f t="shared" si="1"/>
        <v>7</v>
      </c>
    </row>
    <row r="85" spans="1:12" x14ac:dyDescent="0.3">
      <c r="A85">
        <v>82</v>
      </c>
      <c r="B85">
        <v>1</v>
      </c>
      <c r="C85">
        <v>0</v>
      </c>
      <c r="D85">
        <v>1</v>
      </c>
      <c r="E85">
        <v>0</v>
      </c>
      <c r="F85">
        <v>1</v>
      </c>
      <c r="G85">
        <v>1</v>
      </c>
      <c r="H85">
        <v>0</v>
      </c>
      <c r="I85">
        <v>1</v>
      </c>
      <c r="J85">
        <v>0</v>
      </c>
      <c r="K85">
        <v>1</v>
      </c>
      <c r="L85">
        <f t="shared" si="1"/>
        <v>6</v>
      </c>
    </row>
    <row r="86" spans="1:12" x14ac:dyDescent="0.3">
      <c r="A86">
        <v>83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1</v>
      </c>
      <c r="J86">
        <v>0</v>
      </c>
      <c r="K86">
        <v>0</v>
      </c>
      <c r="L86">
        <f t="shared" si="1"/>
        <v>3</v>
      </c>
    </row>
    <row r="87" spans="1:12" x14ac:dyDescent="0.3">
      <c r="A87">
        <v>84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0</v>
      </c>
      <c r="J87">
        <v>1</v>
      </c>
      <c r="K87">
        <v>1</v>
      </c>
      <c r="L87">
        <f t="shared" si="1"/>
        <v>5</v>
      </c>
    </row>
    <row r="88" spans="1:12" x14ac:dyDescent="0.3">
      <c r="A88">
        <v>85</v>
      </c>
      <c r="B88">
        <v>1</v>
      </c>
      <c r="C88">
        <v>1</v>
      </c>
      <c r="D88">
        <v>1</v>
      </c>
      <c r="E88">
        <v>0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f t="shared" si="1"/>
        <v>6</v>
      </c>
    </row>
    <row r="89" spans="1:12" x14ac:dyDescent="0.3">
      <c r="A89">
        <v>86</v>
      </c>
      <c r="B89">
        <v>1</v>
      </c>
      <c r="C89">
        <v>1</v>
      </c>
      <c r="D89">
        <v>1</v>
      </c>
      <c r="E89">
        <v>1</v>
      </c>
      <c r="F89">
        <v>1</v>
      </c>
      <c r="G89">
        <v>0</v>
      </c>
      <c r="H89">
        <v>1</v>
      </c>
      <c r="I89">
        <v>0</v>
      </c>
      <c r="J89">
        <v>0</v>
      </c>
      <c r="K89">
        <v>1</v>
      </c>
      <c r="L89">
        <f t="shared" si="1"/>
        <v>7</v>
      </c>
    </row>
    <row r="90" spans="1:12" x14ac:dyDescent="0.3">
      <c r="A90">
        <v>87</v>
      </c>
      <c r="B90">
        <v>0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f t="shared" si="1"/>
        <v>5</v>
      </c>
    </row>
    <row r="91" spans="1:12" x14ac:dyDescent="0.3">
      <c r="A91">
        <v>88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f t="shared" si="1"/>
        <v>8</v>
      </c>
    </row>
    <row r="92" spans="1:12" x14ac:dyDescent="0.3">
      <c r="A92">
        <v>89</v>
      </c>
      <c r="B92">
        <v>1</v>
      </c>
      <c r="C92">
        <v>1</v>
      </c>
      <c r="D92">
        <v>0</v>
      </c>
      <c r="E92">
        <v>1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f t="shared" si="1"/>
        <v>7</v>
      </c>
    </row>
    <row r="93" spans="1:12" x14ac:dyDescent="0.3">
      <c r="A93">
        <v>90</v>
      </c>
      <c r="B93">
        <v>0</v>
      </c>
      <c r="C93">
        <v>1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1</v>
      </c>
      <c r="K93">
        <v>0</v>
      </c>
      <c r="L93">
        <f t="shared" si="1"/>
        <v>5</v>
      </c>
    </row>
    <row r="94" spans="1:12" x14ac:dyDescent="0.3">
      <c r="A94">
        <v>91</v>
      </c>
      <c r="B94">
        <v>0</v>
      </c>
      <c r="C94">
        <v>1</v>
      </c>
      <c r="D94">
        <v>0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f t="shared" si="1"/>
        <v>7</v>
      </c>
    </row>
    <row r="95" spans="1:12" x14ac:dyDescent="0.3">
      <c r="A95">
        <v>92</v>
      </c>
      <c r="B95">
        <v>0</v>
      </c>
      <c r="C95">
        <v>1</v>
      </c>
      <c r="D95">
        <v>1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f t="shared" si="1"/>
        <v>4</v>
      </c>
    </row>
    <row r="96" spans="1:12" x14ac:dyDescent="0.3">
      <c r="A96">
        <v>93</v>
      </c>
      <c r="B96">
        <v>1</v>
      </c>
      <c r="C96">
        <v>1</v>
      </c>
      <c r="D96">
        <v>0</v>
      </c>
      <c r="E96">
        <v>1</v>
      </c>
      <c r="F96">
        <v>1</v>
      </c>
      <c r="G96">
        <v>0</v>
      </c>
      <c r="H96">
        <v>1</v>
      </c>
      <c r="I96">
        <v>1</v>
      </c>
      <c r="J96">
        <v>0</v>
      </c>
      <c r="K96">
        <v>1</v>
      </c>
      <c r="L96">
        <f t="shared" si="1"/>
        <v>7</v>
      </c>
    </row>
    <row r="97" spans="1:12" x14ac:dyDescent="0.3">
      <c r="A97">
        <v>94</v>
      </c>
      <c r="B97">
        <v>1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f t="shared" si="1"/>
        <v>4</v>
      </c>
    </row>
    <row r="98" spans="1:12" x14ac:dyDescent="0.3">
      <c r="A98">
        <v>95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f t="shared" si="1"/>
        <v>4</v>
      </c>
    </row>
    <row r="99" spans="1:12" x14ac:dyDescent="0.3">
      <c r="A99">
        <v>96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f t="shared" si="1"/>
        <v>2</v>
      </c>
    </row>
    <row r="100" spans="1:12" x14ac:dyDescent="0.3">
      <c r="A100">
        <v>97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1</v>
      </c>
      <c r="L100">
        <f t="shared" si="1"/>
        <v>5</v>
      </c>
    </row>
    <row r="101" spans="1:12" x14ac:dyDescent="0.3">
      <c r="A101">
        <v>98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f t="shared" si="1"/>
        <v>4</v>
      </c>
    </row>
    <row r="102" spans="1:12" x14ac:dyDescent="0.3">
      <c r="A102">
        <v>99</v>
      </c>
      <c r="B102">
        <v>1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0</v>
      </c>
      <c r="K102">
        <v>1</v>
      </c>
      <c r="L102">
        <f t="shared" si="1"/>
        <v>6</v>
      </c>
    </row>
    <row r="103" spans="1:12" x14ac:dyDescent="0.3">
      <c r="A103">
        <v>100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f t="shared" si="1"/>
        <v>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99FD-7A76-4275-ADCA-856B04513DF1}">
  <dimension ref="A1:B6"/>
  <sheetViews>
    <sheetView workbookViewId="0">
      <selection activeCell="G26" sqref="G26"/>
    </sheetView>
  </sheetViews>
  <sheetFormatPr defaultRowHeight="16.5" x14ac:dyDescent="0.3"/>
  <sheetData>
    <row r="1" spans="1:2" x14ac:dyDescent="0.3">
      <c r="A1" s="9" t="s">
        <v>27</v>
      </c>
      <c r="B1" s="9" t="s">
        <v>29</v>
      </c>
    </row>
    <row r="2" spans="1:2" x14ac:dyDescent="0.3">
      <c r="A2" s="7">
        <v>2</v>
      </c>
      <c r="B2" s="7">
        <v>1</v>
      </c>
    </row>
    <row r="3" spans="1:2" x14ac:dyDescent="0.3">
      <c r="A3" s="7">
        <v>3.75</v>
      </c>
      <c r="B3" s="7">
        <v>2</v>
      </c>
    </row>
    <row r="4" spans="1:2" x14ac:dyDescent="0.3">
      <c r="A4" s="7">
        <v>5.5</v>
      </c>
      <c r="B4" s="7">
        <v>9</v>
      </c>
    </row>
    <row r="5" spans="1:2" x14ac:dyDescent="0.3">
      <c r="A5" s="7">
        <v>7.25</v>
      </c>
      <c r="B5" s="7">
        <v>6</v>
      </c>
    </row>
    <row r="6" spans="1:2" ht="17.25" thickBot="1" x14ac:dyDescent="0.35">
      <c r="A6" s="8" t="s">
        <v>28</v>
      </c>
      <c r="B6" s="8">
        <v>2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7A7C-A5D6-4AE7-BACC-C26599777A49}">
  <dimension ref="A1:A100"/>
  <sheetViews>
    <sheetView workbookViewId="0">
      <selection activeCell="C12" sqref="C12"/>
    </sheetView>
  </sheetViews>
  <sheetFormatPr defaultRowHeight="16.5" x14ac:dyDescent="0.3"/>
  <sheetData>
    <row r="1" spans="1:1" x14ac:dyDescent="0.3">
      <c r="A1">
        <v>0.31796616895007901</v>
      </c>
    </row>
    <row r="2" spans="1:1" x14ac:dyDescent="0.3">
      <c r="A2">
        <v>0.19168737708241679</v>
      </c>
    </row>
    <row r="3" spans="1:1" x14ac:dyDescent="0.3">
      <c r="A3">
        <v>-1.0785902304633055</v>
      </c>
    </row>
    <row r="4" spans="1:1" x14ac:dyDescent="0.3">
      <c r="A4">
        <v>-1.1955307854805142</v>
      </c>
    </row>
    <row r="5" spans="1:1" x14ac:dyDescent="0.3">
      <c r="A5">
        <v>1.3603767001768574</v>
      </c>
    </row>
    <row r="6" spans="1:1" x14ac:dyDescent="0.3">
      <c r="A6">
        <v>0.4130288289161399</v>
      </c>
    </row>
    <row r="7" spans="1:1" x14ac:dyDescent="0.3">
      <c r="A7">
        <v>0.18421246750222053</v>
      </c>
    </row>
    <row r="8" spans="1:1" x14ac:dyDescent="0.3">
      <c r="A8">
        <v>-0.98282498584012501</v>
      </c>
    </row>
    <row r="9" spans="1:1" x14ac:dyDescent="0.3">
      <c r="A9">
        <v>9.1965830506524071E-2</v>
      </c>
    </row>
    <row r="10" spans="1:1" x14ac:dyDescent="0.3">
      <c r="A10">
        <v>-1.2787222658516839</v>
      </c>
    </row>
    <row r="11" spans="1:1" x14ac:dyDescent="0.3">
      <c r="A11">
        <v>2.2683934730594046E-2</v>
      </c>
    </row>
    <row r="12" spans="1:1" x14ac:dyDescent="0.3">
      <c r="A12">
        <v>-2.1546384232351556</v>
      </c>
    </row>
    <row r="13" spans="1:1" x14ac:dyDescent="0.3">
      <c r="A13">
        <v>0.52853920351481065</v>
      </c>
    </row>
    <row r="14" spans="1:1" x14ac:dyDescent="0.3">
      <c r="A14">
        <v>-0.46236664275056683</v>
      </c>
    </row>
    <row r="15" spans="1:1" x14ac:dyDescent="0.3">
      <c r="A15">
        <v>-1.7142156139016151</v>
      </c>
    </row>
    <row r="16" spans="1:1" x14ac:dyDescent="0.3">
      <c r="A16">
        <v>0.77433242040569894</v>
      </c>
    </row>
    <row r="17" spans="1:1" x14ac:dyDescent="0.3">
      <c r="A17">
        <v>-0.21519554138649255</v>
      </c>
    </row>
    <row r="18" spans="1:1" x14ac:dyDescent="0.3">
      <c r="A18">
        <v>0.92495156422955915</v>
      </c>
    </row>
    <row r="19" spans="1:1" x14ac:dyDescent="0.3">
      <c r="A19">
        <v>0.30888600122125354</v>
      </c>
    </row>
    <row r="20" spans="1:1" x14ac:dyDescent="0.3">
      <c r="A20">
        <v>0.84592329585575499</v>
      </c>
    </row>
    <row r="21" spans="1:1" x14ac:dyDescent="0.3">
      <c r="A21">
        <v>-1.2458053788577672</v>
      </c>
    </row>
    <row r="22" spans="1:1" x14ac:dyDescent="0.3">
      <c r="A22">
        <v>-0.16386366041842848</v>
      </c>
    </row>
    <row r="23" spans="1:1" x14ac:dyDescent="0.3">
      <c r="A23">
        <v>1.1777433428505901</v>
      </c>
    </row>
    <row r="24" spans="1:1" x14ac:dyDescent="0.3">
      <c r="A24">
        <v>-0.64460891735507175</v>
      </c>
    </row>
    <row r="25" spans="1:1" x14ac:dyDescent="0.3">
      <c r="A25">
        <v>-0.13392764230957255</v>
      </c>
    </row>
    <row r="26" spans="1:1" x14ac:dyDescent="0.3">
      <c r="A26">
        <v>2.6420821086503565</v>
      </c>
    </row>
    <row r="27" spans="1:1" x14ac:dyDescent="0.3">
      <c r="A27">
        <v>-0.62412027546088211</v>
      </c>
    </row>
    <row r="28" spans="1:1" x14ac:dyDescent="0.3">
      <c r="A28">
        <v>-0.11788870324380696</v>
      </c>
    </row>
    <row r="29" spans="1:1" x14ac:dyDescent="0.3">
      <c r="A29">
        <v>-1.0623102753015701</v>
      </c>
    </row>
    <row r="30" spans="1:1" x14ac:dyDescent="0.3">
      <c r="A30">
        <v>-1.4035049389349297</v>
      </c>
    </row>
    <row r="31" spans="1:1" x14ac:dyDescent="0.3">
      <c r="A31">
        <v>-0.11326847015880048</v>
      </c>
    </row>
    <row r="32" spans="1:1" x14ac:dyDescent="0.3">
      <c r="A32">
        <v>0.38543930713785812</v>
      </c>
    </row>
    <row r="33" spans="1:1" x14ac:dyDescent="0.3">
      <c r="A33">
        <v>-3.0230148695409298</v>
      </c>
    </row>
    <row r="34" spans="1:1" x14ac:dyDescent="0.3">
      <c r="A34">
        <v>1.7026923160301521</v>
      </c>
    </row>
    <row r="35" spans="1:1" x14ac:dyDescent="0.3">
      <c r="A35">
        <v>-1.2025952855765354</v>
      </c>
    </row>
    <row r="36" spans="1:1" x14ac:dyDescent="0.3">
      <c r="A36">
        <v>1.4927536540199071</v>
      </c>
    </row>
    <row r="37" spans="1:1" x14ac:dyDescent="0.3">
      <c r="A37">
        <v>-2.2109452402219176</v>
      </c>
    </row>
    <row r="38" spans="1:1" x14ac:dyDescent="0.3">
      <c r="A38">
        <v>-0.21644837033818476</v>
      </c>
    </row>
    <row r="39" spans="1:1" x14ac:dyDescent="0.3">
      <c r="A39">
        <v>-1.8075206753564999</v>
      </c>
    </row>
    <row r="40" spans="1:1" x14ac:dyDescent="0.3">
      <c r="A40">
        <v>1.4761735656065866</v>
      </c>
    </row>
    <row r="41" spans="1:1" x14ac:dyDescent="0.3">
      <c r="A41">
        <v>0.80135578173212707</v>
      </c>
    </row>
    <row r="42" spans="1:1" x14ac:dyDescent="0.3">
      <c r="A42">
        <v>0.35227571970608551</v>
      </c>
    </row>
    <row r="43" spans="1:1" x14ac:dyDescent="0.3">
      <c r="A43">
        <v>-0.99618091553566046</v>
      </c>
    </row>
    <row r="44" spans="1:1" x14ac:dyDescent="0.3">
      <c r="A44">
        <v>1.0625808499753475</v>
      </c>
    </row>
    <row r="45" spans="1:1" x14ac:dyDescent="0.3">
      <c r="A45">
        <v>-1.4770876077818684</v>
      </c>
    </row>
    <row r="46" spans="1:1" x14ac:dyDescent="0.3">
      <c r="A46">
        <v>0.67754172050626948</v>
      </c>
    </row>
    <row r="47" spans="1:1" x14ac:dyDescent="0.3">
      <c r="A47">
        <v>0.11018983059329912</v>
      </c>
    </row>
    <row r="48" spans="1:1" x14ac:dyDescent="0.3">
      <c r="A48">
        <v>0.65537960836081766</v>
      </c>
    </row>
    <row r="49" spans="1:1" x14ac:dyDescent="0.3">
      <c r="A49">
        <v>0.37286326914909296</v>
      </c>
    </row>
    <row r="50" spans="1:1" x14ac:dyDescent="0.3">
      <c r="A50">
        <v>-0.76230890044826083</v>
      </c>
    </row>
    <row r="51" spans="1:1" x14ac:dyDescent="0.3">
      <c r="A51">
        <v>0.78594780461571645</v>
      </c>
    </row>
    <row r="52" spans="1:1" x14ac:dyDescent="0.3">
      <c r="A52">
        <v>-0.52783548198931385</v>
      </c>
    </row>
    <row r="53" spans="1:1" x14ac:dyDescent="0.3">
      <c r="A53">
        <v>-0.19776848603214603</v>
      </c>
    </row>
    <row r="54" spans="1:1" x14ac:dyDescent="0.3">
      <c r="A54">
        <v>0.73317096394021064</v>
      </c>
    </row>
    <row r="55" spans="1:1" x14ac:dyDescent="0.3">
      <c r="A55">
        <v>1.5085561244632117</v>
      </c>
    </row>
    <row r="56" spans="1:1" x14ac:dyDescent="0.3">
      <c r="A56">
        <v>-0.62747062656853814</v>
      </c>
    </row>
    <row r="57" spans="1:1" x14ac:dyDescent="0.3">
      <c r="A57">
        <v>1.601270014361944</v>
      </c>
    </row>
    <row r="58" spans="1:1" x14ac:dyDescent="0.3">
      <c r="A58">
        <v>1.3240355656307656</v>
      </c>
    </row>
    <row r="59" spans="1:1" x14ac:dyDescent="0.3">
      <c r="A59">
        <v>-0.1221269485540688</v>
      </c>
    </row>
    <row r="60" spans="1:1" x14ac:dyDescent="0.3">
      <c r="A60">
        <v>0.57729835134523455</v>
      </c>
    </row>
    <row r="61" spans="1:1" x14ac:dyDescent="0.3">
      <c r="A61">
        <v>-1.0211169865215197</v>
      </c>
    </row>
    <row r="62" spans="1:1" x14ac:dyDescent="0.3">
      <c r="A62">
        <v>0.99794078778359108</v>
      </c>
    </row>
    <row r="63" spans="1:1" x14ac:dyDescent="0.3">
      <c r="A63">
        <v>-0.85547981143463403</v>
      </c>
    </row>
    <row r="64" spans="1:1" x14ac:dyDescent="0.3">
      <c r="A64">
        <v>-0.8952042662713211</v>
      </c>
    </row>
    <row r="65" spans="1:1" x14ac:dyDescent="0.3">
      <c r="A65">
        <v>0.34195750231447164</v>
      </c>
    </row>
    <row r="66" spans="1:1" x14ac:dyDescent="0.3">
      <c r="A66">
        <v>0.82628503150772303</v>
      </c>
    </row>
    <row r="67" spans="1:1" x14ac:dyDescent="0.3">
      <c r="A67">
        <v>-2.0122752175666392</v>
      </c>
    </row>
    <row r="68" spans="1:1" x14ac:dyDescent="0.3">
      <c r="A68">
        <v>-2.5733606889843941</v>
      </c>
    </row>
    <row r="69" spans="1:1" x14ac:dyDescent="0.3">
      <c r="A69">
        <v>-0.93674998424830846</v>
      </c>
    </row>
    <row r="70" spans="1:1" x14ac:dyDescent="0.3">
      <c r="A70">
        <v>-8.453753252979368E-3</v>
      </c>
    </row>
    <row r="71" spans="1:1" x14ac:dyDescent="0.3">
      <c r="A71">
        <v>2.1393134375102818</v>
      </c>
    </row>
    <row r="72" spans="1:1" x14ac:dyDescent="0.3">
      <c r="A72">
        <v>0.94114739113138057</v>
      </c>
    </row>
    <row r="73" spans="1:1" x14ac:dyDescent="0.3">
      <c r="A73">
        <v>1.2178702490928117</v>
      </c>
    </row>
    <row r="74" spans="1:1" x14ac:dyDescent="0.3">
      <c r="A74">
        <v>1.4196666597854346</v>
      </c>
    </row>
    <row r="75" spans="1:1" x14ac:dyDescent="0.3">
      <c r="A75">
        <v>0.51067786444036756</v>
      </c>
    </row>
    <row r="76" spans="1:1" x14ac:dyDescent="0.3">
      <c r="A76">
        <v>0.41311068343929946</v>
      </c>
    </row>
    <row r="77" spans="1:1" x14ac:dyDescent="0.3">
      <c r="A77">
        <v>0.49384198064217344</v>
      </c>
    </row>
    <row r="78" spans="1:1" x14ac:dyDescent="0.3">
      <c r="A78">
        <v>3.1583476811647415</v>
      </c>
    </row>
    <row r="79" spans="1:1" x14ac:dyDescent="0.3">
      <c r="A79">
        <v>1.1266388355579693</v>
      </c>
    </row>
    <row r="80" spans="1:1" x14ac:dyDescent="0.3">
      <c r="A80">
        <v>-0.30327441891131457</v>
      </c>
    </row>
    <row r="81" spans="1:1" x14ac:dyDescent="0.3">
      <c r="A81">
        <v>-0.24402083909080829</v>
      </c>
    </row>
    <row r="82" spans="1:1" x14ac:dyDescent="0.3">
      <c r="A82">
        <v>-0.26908310246653855</v>
      </c>
    </row>
    <row r="83" spans="1:1" x14ac:dyDescent="0.3">
      <c r="A83">
        <v>0.18818241187545937</v>
      </c>
    </row>
    <row r="84" spans="1:1" x14ac:dyDescent="0.3">
      <c r="A84">
        <v>-1.313087523158174</v>
      </c>
    </row>
    <row r="85" spans="1:1" x14ac:dyDescent="0.3">
      <c r="A85">
        <v>-0.53170879255048931</v>
      </c>
    </row>
    <row r="86" spans="1:1" x14ac:dyDescent="0.3">
      <c r="A86">
        <v>-1.6034800864872523</v>
      </c>
    </row>
    <row r="87" spans="1:1" x14ac:dyDescent="0.3">
      <c r="A87">
        <v>-0.7546600500063505</v>
      </c>
    </row>
    <row r="88" spans="1:1" x14ac:dyDescent="0.3">
      <c r="A88">
        <v>-0.60692400438711047</v>
      </c>
    </row>
    <row r="89" spans="1:1" x14ac:dyDescent="0.3">
      <c r="A89">
        <v>-0.51958750191261061</v>
      </c>
    </row>
    <row r="90" spans="1:1" x14ac:dyDescent="0.3">
      <c r="A90">
        <v>0.41594603317207657</v>
      </c>
    </row>
    <row r="91" spans="1:1" x14ac:dyDescent="0.3">
      <c r="A91">
        <v>1.0829808161361143</v>
      </c>
    </row>
    <row r="92" spans="1:1" x14ac:dyDescent="0.3">
      <c r="A92">
        <v>-1.5979685485945083</v>
      </c>
    </row>
    <row r="93" spans="1:1" x14ac:dyDescent="0.3">
      <c r="A93">
        <v>0.56828412198228762</v>
      </c>
    </row>
    <row r="94" spans="1:1" x14ac:dyDescent="0.3">
      <c r="A94">
        <v>0.36631035982281901</v>
      </c>
    </row>
    <row r="95" spans="1:1" x14ac:dyDescent="0.3">
      <c r="A95">
        <v>0.58608634390111547</v>
      </c>
    </row>
    <row r="96" spans="1:1" x14ac:dyDescent="0.3">
      <c r="A96">
        <v>0.3717968866112642</v>
      </c>
    </row>
    <row r="97" spans="1:1" x14ac:dyDescent="0.3">
      <c r="A97">
        <v>0.43218278733547777</v>
      </c>
    </row>
    <row r="98" spans="1:1" x14ac:dyDescent="0.3">
      <c r="A98">
        <v>1.3515500540961511</v>
      </c>
    </row>
    <row r="99" spans="1:1" x14ac:dyDescent="0.3">
      <c r="A99">
        <v>0.42890974327747244</v>
      </c>
    </row>
    <row r="100" spans="1:1" x14ac:dyDescent="0.3">
      <c r="A100">
        <v>-0.93284143076743931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E9B1-7AA6-4BF6-ADC8-EDA105C6075F}">
  <dimension ref="A1:B11"/>
  <sheetViews>
    <sheetView workbookViewId="0">
      <selection activeCell="I26" sqref="I26"/>
    </sheetView>
  </sheetViews>
  <sheetFormatPr defaultRowHeight="16.5" x14ac:dyDescent="0.3"/>
  <sheetData>
    <row r="1" spans="1:2" x14ac:dyDescent="0.3">
      <c r="A1" s="9" t="s">
        <v>27</v>
      </c>
      <c r="B1" s="9" t="s">
        <v>29</v>
      </c>
    </row>
    <row r="2" spans="1:2" x14ac:dyDescent="0.3">
      <c r="A2" s="7">
        <v>-3.0230148695409298</v>
      </c>
      <c r="B2" s="7">
        <v>1</v>
      </c>
    </row>
    <row r="3" spans="1:2" x14ac:dyDescent="0.3">
      <c r="A3" s="7">
        <v>-2.3361968083514109</v>
      </c>
      <c r="B3" s="7">
        <v>1</v>
      </c>
    </row>
    <row r="4" spans="1:2" x14ac:dyDescent="0.3">
      <c r="A4" s="7">
        <v>-1.6493787471618917</v>
      </c>
      <c r="B4" s="7">
        <v>5</v>
      </c>
    </row>
    <row r="5" spans="1:2" x14ac:dyDescent="0.3">
      <c r="A5" s="7">
        <v>-0.96256068597237254</v>
      </c>
      <c r="B5" s="7">
        <v>14</v>
      </c>
    </row>
    <row r="6" spans="1:2" x14ac:dyDescent="0.3">
      <c r="A6" s="7">
        <v>-0.27574262478285361</v>
      </c>
      <c r="B6" s="7">
        <v>15</v>
      </c>
    </row>
    <row r="7" spans="1:2" x14ac:dyDescent="0.3">
      <c r="A7" s="7">
        <v>0.41107543640666533</v>
      </c>
      <c r="B7" s="7">
        <v>24</v>
      </c>
    </row>
    <row r="8" spans="1:2" x14ac:dyDescent="0.3">
      <c r="A8" s="7">
        <v>1.0978934975961847</v>
      </c>
      <c r="B8" s="7">
        <v>24</v>
      </c>
    </row>
    <row r="9" spans="1:2" x14ac:dyDescent="0.3">
      <c r="A9" s="7">
        <v>1.7847115587857036</v>
      </c>
      <c r="B9" s="7">
        <v>12</v>
      </c>
    </row>
    <row r="10" spans="1:2" x14ac:dyDescent="0.3">
      <c r="A10" s="7">
        <v>2.4715296199752226</v>
      </c>
      <c r="B10" s="7">
        <v>1</v>
      </c>
    </row>
    <row r="11" spans="1:2" ht="17.25" thickBot="1" x14ac:dyDescent="0.35">
      <c r="A11" s="8" t="s">
        <v>28</v>
      </c>
      <c r="B11" s="8">
        <v>2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7472-7056-4592-968A-1E8579685E8C}">
  <dimension ref="A1:C101"/>
  <sheetViews>
    <sheetView tabSelected="1" workbookViewId="0">
      <selection activeCell="C11" sqref="C11"/>
    </sheetView>
  </sheetViews>
  <sheetFormatPr defaultRowHeight="16.5" x14ac:dyDescent="0.3"/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>
        <v>0</v>
      </c>
      <c r="C2">
        <v>0</v>
      </c>
    </row>
    <row r="3" spans="1:3" x14ac:dyDescent="0.3">
      <c r="A3">
        <v>1</v>
      </c>
      <c r="B3">
        <f ca="1">RAND()-0.5</f>
        <v>-0.39100762129462441</v>
      </c>
      <c r="C3">
        <f ca="1">C2+B3</f>
        <v>-0.39100762129462441</v>
      </c>
    </row>
    <row r="4" spans="1:3" x14ac:dyDescent="0.3">
      <c r="A4">
        <v>2</v>
      </c>
      <c r="B4">
        <f t="shared" ref="B4:B67" ca="1" si="0">RAND()-0.5</f>
        <v>2.5141786655766496E-2</v>
      </c>
      <c r="C4">
        <f t="shared" ref="C4:C67" ca="1" si="1">C3+B4</f>
        <v>-0.36586583463885791</v>
      </c>
    </row>
    <row r="5" spans="1:3" x14ac:dyDescent="0.3">
      <c r="A5">
        <v>3</v>
      </c>
      <c r="B5">
        <f t="shared" ca="1" si="0"/>
        <v>-0.17809659240159947</v>
      </c>
      <c r="C5">
        <f t="shared" ca="1" si="1"/>
        <v>-0.54396242704045739</v>
      </c>
    </row>
    <row r="6" spans="1:3" x14ac:dyDescent="0.3">
      <c r="A6">
        <v>4</v>
      </c>
      <c r="B6">
        <f t="shared" ca="1" si="0"/>
        <v>0.24551910023277146</v>
      </c>
      <c r="C6">
        <f t="shared" ca="1" si="1"/>
        <v>-0.29844332680768593</v>
      </c>
    </row>
    <row r="7" spans="1:3" x14ac:dyDescent="0.3">
      <c r="A7">
        <v>5</v>
      </c>
      <c r="B7">
        <f t="shared" ca="1" si="0"/>
        <v>-0.17969948495658072</v>
      </c>
      <c r="C7">
        <f t="shared" ca="1" si="1"/>
        <v>-0.47814281176426665</v>
      </c>
    </row>
    <row r="8" spans="1:3" x14ac:dyDescent="0.3">
      <c r="A8">
        <v>6</v>
      </c>
      <c r="B8">
        <f t="shared" ca="1" si="0"/>
        <v>0.11827645629336225</v>
      </c>
      <c r="C8">
        <f t="shared" ca="1" si="1"/>
        <v>-0.3598663554709044</v>
      </c>
    </row>
    <row r="9" spans="1:3" x14ac:dyDescent="0.3">
      <c r="A9">
        <v>7</v>
      </c>
      <c r="B9">
        <f t="shared" ca="1" si="0"/>
        <v>0.40447397251650663</v>
      </c>
      <c r="C9">
        <f t="shared" ca="1" si="1"/>
        <v>4.4607617045602233E-2</v>
      </c>
    </row>
    <row r="10" spans="1:3" x14ac:dyDescent="0.3">
      <c r="A10">
        <v>8</v>
      </c>
      <c r="B10">
        <f t="shared" ca="1" si="0"/>
        <v>-0.41800319610323833</v>
      </c>
      <c r="C10">
        <f t="shared" ca="1" si="1"/>
        <v>-0.3733955790576361</v>
      </c>
    </row>
    <row r="11" spans="1:3" x14ac:dyDescent="0.3">
      <c r="A11">
        <v>9</v>
      </c>
      <c r="B11">
        <f t="shared" ca="1" si="0"/>
        <v>0.47448810013838083</v>
      </c>
      <c r="C11">
        <f t="shared" ca="1" si="1"/>
        <v>0.10109252108074473</v>
      </c>
    </row>
    <row r="12" spans="1:3" x14ac:dyDescent="0.3">
      <c r="A12">
        <v>10</v>
      </c>
      <c r="B12">
        <f t="shared" ca="1" si="0"/>
        <v>-2.2889688949504827E-2</v>
      </c>
      <c r="C12">
        <f t="shared" ca="1" si="1"/>
        <v>7.8202832131239908E-2</v>
      </c>
    </row>
    <row r="13" spans="1:3" x14ac:dyDescent="0.3">
      <c r="A13">
        <v>11</v>
      </c>
      <c r="B13">
        <f t="shared" ca="1" si="0"/>
        <v>-0.46750528895383714</v>
      </c>
      <c r="C13">
        <f t="shared" ca="1" si="1"/>
        <v>-0.38930245682259723</v>
      </c>
    </row>
    <row r="14" spans="1:3" x14ac:dyDescent="0.3">
      <c r="A14">
        <v>12</v>
      </c>
      <c r="B14">
        <f t="shared" ca="1" si="0"/>
        <v>5.7623445890509384E-2</v>
      </c>
      <c r="C14">
        <f t="shared" ca="1" si="1"/>
        <v>-0.33167901093208785</v>
      </c>
    </row>
    <row r="15" spans="1:3" x14ac:dyDescent="0.3">
      <c r="A15">
        <v>13</v>
      </c>
      <c r="B15">
        <f t="shared" ca="1" si="0"/>
        <v>0.37982561536234283</v>
      </c>
      <c r="C15">
        <f t="shared" ca="1" si="1"/>
        <v>4.814660443025498E-2</v>
      </c>
    </row>
    <row r="16" spans="1:3" x14ac:dyDescent="0.3">
      <c r="A16">
        <v>14</v>
      </c>
      <c r="B16">
        <f t="shared" ca="1" si="0"/>
        <v>0.1320425716606638</v>
      </c>
      <c r="C16">
        <f t="shared" ca="1" si="1"/>
        <v>0.18018917609091878</v>
      </c>
    </row>
    <row r="17" spans="1:3" x14ac:dyDescent="0.3">
      <c r="A17">
        <v>15</v>
      </c>
      <c r="B17">
        <f t="shared" ca="1" si="0"/>
        <v>0.12569813361425985</v>
      </c>
      <c r="C17">
        <f t="shared" ca="1" si="1"/>
        <v>0.30588730970517863</v>
      </c>
    </row>
    <row r="18" spans="1:3" x14ac:dyDescent="0.3">
      <c r="A18">
        <v>16</v>
      </c>
      <c r="B18">
        <f t="shared" ca="1" si="0"/>
        <v>0.35761027958831182</v>
      </c>
      <c r="C18">
        <f t="shared" ca="1" si="1"/>
        <v>0.66349758929349045</v>
      </c>
    </row>
    <row r="19" spans="1:3" x14ac:dyDescent="0.3">
      <c r="A19">
        <v>17</v>
      </c>
      <c r="B19">
        <f t="shared" ca="1" si="0"/>
        <v>-0.27841012650123942</v>
      </c>
      <c r="C19">
        <f t="shared" ca="1" si="1"/>
        <v>0.38508746279225103</v>
      </c>
    </row>
    <row r="20" spans="1:3" x14ac:dyDescent="0.3">
      <c r="A20">
        <v>18</v>
      </c>
      <c r="B20">
        <f t="shared" ca="1" si="0"/>
        <v>0.14888863097819682</v>
      </c>
      <c r="C20">
        <f t="shared" ca="1" si="1"/>
        <v>0.53397609377044786</v>
      </c>
    </row>
    <row r="21" spans="1:3" x14ac:dyDescent="0.3">
      <c r="A21">
        <v>19</v>
      </c>
      <c r="B21">
        <f t="shared" ca="1" si="0"/>
        <v>-0.237266417940042</v>
      </c>
      <c r="C21">
        <f t="shared" ca="1" si="1"/>
        <v>0.29670967583040586</v>
      </c>
    </row>
    <row r="22" spans="1:3" x14ac:dyDescent="0.3">
      <c r="A22">
        <v>20</v>
      </c>
      <c r="B22">
        <f t="shared" ca="1" si="0"/>
        <v>-0.28683815326169804</v>
      </c>
      <c r="C22">
        <f t="shared" ca="1" si="1"/>
        <v>9.8715225687078245E-3</v>
      </c>
    </row>
    <row r="23" spans="1:3" x14ac:dyDescent="0.3">
      <c r="A23">
        <v>21</v>
      </c>
      <c r="B23">
        <f t="shared" ca="1" si="0"/>
        <v>-0.4133893150877056</v>
      </c>
      <c r="C23">
        <f t="shared" ca="1" si="1"/>
        <v>-0.40351779251899778</v>
      </c>
    </row>
    <row r="24" spans="1:3" x14ac:dyDescent="0.3">
      <c r="A24">
        <v>22</v>
      </c>
      <c r="B24">
        <f t="shared" ca="1" si="0"/>
        <v>-0.15943600366061528</v>
      </c>
      <c r="C24">
        <f t="shared" ca="1" si="1"/>
        <v>-0.56295379617961305</v>
      </c>
    </row>
    <row r="25" spans="1:3" x14ac:dyDescent="0.3">
      <c r="A25">
        <v>23</v>
      </c>
      <c r="B25">
        <f t="shared" ca="1" si="0"/>
        <v>0.20229471844345992</v>
      </c>
      <c r="C25">
        <f t="shared" ca="1" si="1"/>
        <v>-0.36065907773615313</v>
      </c>
    </row>
    <row r="26" spans="1:3" x14ac:dyDescent="0.3">
      <c r="A26">
        <v>24</v>
      </c>
      <c r="B26">
        <f t="shared" ca="1" si="0"/>
        <v>-7.6444424357247298E-2</v>
      </c>
      <c r="C26">
        <f t="shared" ca="1" si="1"/>
        <v>-0.43710350209340043</v>
      </c>
    </row>
    <row r="27" spans="1:3" x14ac:dyDescent="0.3">
      <c r="A27">
        <v>25</v>
      </c>
      <c r="B27">
        <f t="shared" ca="1" si="0"/>
        <v>5.769524540603177E-2</v>
      </c>
      <c r="C27">
        <f t="shared" ca="1" si="1"/>
        <v>-0.37940825668736866</v>
      </c>
    </row>
    <row r="28" spans="1:3" x14ac:dyDescent="0.3">
      <c r="A28">
        <v>26</v>
      </c>
      <c r="B28">
        <f t="shared" ca="1" si="0"/>
        <v>-0.42652088196907822</v>
      </c>
      <c r="C28">
        <f t="shared" ca="1" si="1"/>
        <v>-0.80592913865644689</v>
      </c>
    </row>
    <row r="29" spans="1:3" x14ac:dyDescent="0.3">
      <c r="A29">
        <v>27</v>
      </c>
      <c r="B29">
        <f t="shared" ca="1" si="0"/>
        <v>-0.16755972271170827</v>
      </c>
      <c r="C29">
        <f t="shared" ca="1" si="1"/>
        <v>-0.97348886136815516</v>
      </c>
    </row>
    <row r="30" spans="1:3" x14ac:dyDescent="0.3">
      <c r="A30">
        <v>28</v>
      </c>
      <c r="B30">
        <f t="shared" ca="1" si="0"/>
        <v>-1.9591906079714727E-2</v>
      </c>
      <c r="C30">
        <f t="shared" ca="1" si="1"/>
        <v>-0.99308076744786988</v>
      </c>
    </row>
    <row r="31" spans="1:3" x14ac:dyDescent="0.3">
      <c r="A31">
        <v>29</v>
      </c>
      <c r="B31">
        <f t="shared" ca="1" si="0"/>
        <v>0.34308327657768789</v>
      </c>
      <c r="C31">
        <f t="shared" ca="1" si="1"/>
        <v>-0.64999749087018199</v>
      </c>
    </row>
    <row r="32" spans="1:3" x14ac:dyDescent="0.3">
      <c r="A32">
        <v>30</v>
      </c>
      <c r="B32">
        <f t="shared" ca="1" si="0"/>
        <v>0.47496563151886873</v>
      </c>
      <c r="C32">
        <f t="shared" ca="1" si="1"/>
        <v>-0.17503185935131327</v>
      </c>
    </row>
    <row r="33" spans="1:3" x14ac:dyDescent="0.3">
      <c r="A33">
        <v>31</v>
      </c>
      <c r="B33">
        <f t="shared" ca="1" si="0"/>
        <v>-0.23951644059819144</v>
      </c>
      <c r="C33">
        <f t="shared" ca="1" si="1"/>
        <v>-0.41454829994950471</v>
      </c>
    </row>
    <row r="34" spans="1:3" x14ac:dyDescent="0.3">
      <c r="A34">
        <v>32</v>
      </c>
      <c r="B34">
        <f t="shared" ca="1" si="0"/>
        <v>-0.21949788040459706</v>
      </c>
      <c r="C34">
        <f t="shared" ca="1" si="1"/>
        <v>-0.63404618035410176</v>
      </c>
    </row>
    <row r="35" spans="1:3" x14ac:dyDescent="0.3">
      <c r="A35">
        <v>33</v>
      </c>
      <c r="B35">
        <f t="shared" ca="1" si="0"/>
        <v>-0.18811874148713459</v>
      </c>
      <c r="C35">
        <f t="shared" ca="1" si="1"/>
        <v>-0.82216492184123635</v>
      </c>
    </row>
    <row r="36" spans="1:3" x14ac:dyDescent="0.3">
      <c r="A36">
        <v>34</v>
      </c>
      <c r="B36">
        <f t="shared" ca="1" si="0"/>
        <v>-0.49939040072300123</v>
      </c>
      <c r="C36">
        <f t="shared" ca="1" si="1"/>
        <v>-1.3215553225642376</v>
      </c>
    </row>
    <row r="37" spans="1:3" x14ac:dyDescent="0.3">
      <c r="A37">
        <v>35</v>
      </c>
      <c r="B37">
        <f t="shared" ca="1" si="0"/>
        <v>-0.17966610022969731</v>
      </c>
      <c r="C37">
        <f t="shared" ca="1" si="1"/>
        <v>-1.5012214227939349</v>
      </c>
    </row>
    <row r="38" spans="1:3" x14ac:dyDescent="0.3">
      <c r="A38">
        <v>36</v>
      </c>
      <c r="B38">
        <f t="shared" ca="1" si="0"/>
        <v>0.14266638886844918</v>
      </c>
      <c r="C38">
        <f t="shared" ca="1" si="1"/>
        <v>-1.3585550339254857</v>
      </c>
    </row>
    <row r="39" spans="1:3" x14ac:dyDescent="0.3">
      <c r="A39">
        <v>37</v>
      </c>
      <c r="B39">
        <f t="shared" ca="1" si="0"/>
        <v>7.742333804792334E-2</v>
      </c>
      <c r="C39">
        <f t="shared" ca="1" si="1"/>
        <v>-1.2811316958775625</v>
      </c>
    </row>
    <row r="40" spans="1:3" x14ac:dyDescent="0.3">
      <c r="A40">
        <v>38</v>
      </c>
      <c r="B40">
        <f t="shared" ca="1" si="0"/>
        <v>0.31547028330424276</v>
      </c>
      <c r="C40">
        <f t="shared" ca="1" si="1"/>
        <v>-0.96566141257331972</v>
      </c>
    </row>
    <row r="41" spans="1:3" x14ac:dyDescent="0.3">
      <c r="A41">
        <v>39</v>
      </c>
      <c r="B41">
        <f t="shared" ca="1" si="0"/>
        <v>6.7542397226667106E-2</v>
      </c>
      <c r="C41">
        <f t="shared" ca="1" si="1"/>
        <v>-0.89811901534665262</v>
      </c>
    </row>
    <row r="42" spans="1:3" x14ac:dyDescent="0.3">
      <c r="A42">
        <v>40</v>
      </c>
      <c r="B42">
        <f t="shared" ca="1" si="0"/>
        <v>0.342524374170456</v>
      </c>
      <c r="C42">
        <f t="shared" ca="1" si="1"/>
        <v>-0.55559464117619661</v>
      </c>
    </row>
    <row r="43" spans="1:3" x14ac:dyDescent="0.3">
      <c r="A43">
        <v>41</v>
      </c>
      <c r="B43">
        <f t="shared" ca="1" si="0"/>
        <v>-0.28282285961398934</v>
      </c>
      <c r="C43">
        <f t="shared" ca="1" si="1"/>
        <v>-0.83841750079018595</v>
      </c>
    </row>
    <row r="44" spans="1:3" x14ac:dyDescent="0.3">
      <c r="A44">
        <v>42</v>
      </c>
      <c r="B44">
        <f t="shared" ca="1" si="0"/>
        <v>-0.39997786066050378</v>
      </c>
      <c r="C44">
        <f t="shared" ca="1" si="1"/>
        <v>-1.2383953614506897</v>
      </c>
    </row>
    <row r="45" spans="1:3" x14ac:dyDescent="0.3">
      <c r="A45">
        <v>43</v>
      </c>
      <c r="B45">
        <f t="shared" ca="1" si="0"/>
        <v>-0.35058449670295555</v>
      </c>
      <c r="C45">
        <f t="shared" ca="1" si="1"/>
        <v>-1.5889798581536452</v>
      </c>
    </row>
    <row r="46" spans="1:3" x14ac:dyDescent="0.3">
      <c r="A46">
        <v>44</v>
      </c>
      <c r="B46">
        <f t="shared" ca="1" si="0"/>
        <v>0.43367846736398341</v>
      </c>
      <c r="C46">
        <f t="shared" ca="1" si="1"/>
        <v>-1.1553013907896617</v>
      </c>
    </row>
    <row r="47" spans="1:3" x14ac:dyDescent="0.3">
      <c r="A47">
        <v>45</v>
      </c>
      <c r="B47">
        <f t="shared" ca="1" si="0"/>
        <v>-0.21696071105228554</v>
      </c>
      <c r="C47">
        <f t="shared" ca="1" si="1"/>
        <v>-1.3722621018419472</v>
      </c>
    </row>
    <row r="48" spans="1:3" x14ac:dyDescent="0.3">
      <c r="A48">
        <v>46</v>
      </c>
      <c r="B48">
        <f t="shared" ca="1" si="0"/>
        <v>0.40881666682762252</v>
      </c>
      <c r="C48">
        <f t="shared" ca="1" si="1"/>
        <v>-0.96344543501432467</v>
      </c>
    </row>
    <row r="49" spans="1:3" x14ac:dyDescent="0.3">
      <c r="A49">
        <v>47</v>
      </c>
      <c r="B49">
        <f t="shared" ca="1" si="0"/>
        <v>-0.21211769000435921</v>
      </c>
      <c r="C49">
        <f t="shared" ca="1" si="1"/>
        <v>-1.1755631250186838</v>
      </c>
    </row>
    <row r="50" spans="1:3" x14ac:dyDescent="0.3">
      <c r="A50">
        <v>48</v>
      </c>
      <c r="B50">
        <f t="shared" ca="1" si="0"/>
        <v>-0.25824831202215803</v>
      </c>
      <c r="C50">
        <f t="shared" ca="1" si="1"/>
        <v>-1.4338114370408417</v>
      </c>
    </row>
    <row r="51" spans="1:3" x14ac:dyDescent="0.3">
      <c r="A51">
        <v>49</v>
      </c>
      <c r="B51">
        <f t="shared" ca="1" si="0"/>
        <v>0.49772159494578894</v>
      </c>
      <c r="C51">
        <f t="shared" ca="1" si="1"/>
        <v>-0.93608984209505275</v>
      </c>
    </row>
    <row r="52" spans="1:3" x14ac:dyDescent="0.3">
      <c r="A52">
        <v>50</v>
      </c>
      <c r="B52">
        <f t="shared" ca="1" si="0"/>
        <v>-0.40982777419363181</v>
      </c>
      <c r="C52">
        <f t="shared" ca="1" si="1"/>
        <v>-1.3459176162886846</v>
      </c>
    </row>
    <row r="53" spans="1:3" x14ac:dyDescent="0.3">
      <c r="A53">
        <v>51</v>
      </c>
      <c r="B53">
        <f t="shared" ca="1" si="0"/>
        <v>0.26200587633530248</v>
      </c>
      <c r="C53">
        <f t="shared" ca="1" si="1"/>
        <v>-1.0839117399533822</v>
      </c>
    </row>
    <row r="54" spans="1:3" x14ac:dyDescent="0.3">
      <c r="A54">
        <v>52</v>
      </c>
      <c r="B54">
        <f t="shared" ca="1" si="0"/>
        <v>0.35643789316300889</v>
      </c>
      <c r="C54">
        <f t="shared" ca="1" si="1"/>
        <v>-0.7274738467903733</v>
      </c>
    </row>
    <row r="55" spans="1:3" x14ac:dyDescent="0.3">
      <c r="A55">
        <v>53</v>
      </c>
      <c r="B55">
        <f t="shared" ca="1" si="0"/>
        <v>0.40145362697878184</v>
      </c>
      <c r="C55">
        <f t="shared" ca="1" si="1"/>
        <v>-0.32602021981159146</v>
      </c>
    </row>
    <row r="56" spans="1:3" x14ac:dyDescent="0.3">
      <c r="A56">
        <v>54</v>
      </c>
      <c r="B56">
        <f t="shared" ca="1" si="0"/>
        <v>6.9041202166875704E-2</v>
      </c>
      <c r="C56">
        <f t="shared" ca="1" si="1"/>
        <v>-0.25697901764471576</v>
      </c>
    </row>
    <row r="57" spans="1:3" x14ac:dyDescent="0.3">
      <c r="A57">
        <v>55</v>
      </c>
      <c r="B57">
        <f t="shared" ca="1" si="0"/>
        <v>-0.46881045401454202</v>
      </c>
      <c r="C57">
        <f t="shared" ca="1" si="1"/>
        <v>-0.72578947165925778</v>
      </c>
    </row>
    <row r="58" spans="1:3" x14ac:dyDescent="0.3">
      <c r="A58">
        <v>56</v>
      </c>
      <c r="B58">
        <f t="shared" ca="1" si="0"/>
        <v>-0.40776750350141111</v>
      </c>
      <c r="C58">
        <f t="shared" ca="1" si="1"/>
        <v>-1.1335569751606689</v>
      </c>
    </row>
    <row r="59" spans="1:3" x14ac:dyDescent="0.3">
      <c r="A59">
        <v>57</v>
      </c>
      <c r="B59">
        <f t="shared" ca="1" si="0"/>
        <v>-0.12179377609996389</v>
      </c>
      <c r="C59">
        <f t="shared" ca="1" si="1"/>
        <v>-1.2553507512606328</v>
      </c>
    </row>
    <row r="60" spans="1:3" x14ac:dyDescent="0.3">
      <c r="A60">
        <v>58</v>
      </c>
      <c r="B60">
        <f t="shared" ca="1" si="0"/>
        <v>-0.17644261291220042</v>
      </c>
      <c r="C60">
        <f t="shared" ca="1" si="1"/>
        <v>-1.4317933641728331</v>
      </c>
    </row>
    <row r="61" spans="1:3" x14ac:dyDescent="0.3">
      <c r="A61">
        <v>59</v>
      </c>
      <c r="B61">
        <f t="shared" ca="1" si="0"/>
        <v>-0.22367225755050146</v>
      </c>
      <c r="C61">
        <f t="shared" ca="1" si="1"/>
        <v>-1.6554656217233346</v>
      </c>
    </row>
    <row r="62" spans="1:3" x14ac:dyDescent="0.3">
      <c r="A62">
        <v>60</v>
      </c>
      <c r="B62">
        <f t="shared" ca="1" si="0"/>
        <v>0.21253727645457443</v>
      </c>
      <c r="C62">
        <f t="shared" ca="1" si="1"/>
        <v>-1.44292834526876</v>
      </c>
    </row>
    <row r="63" spans="1:3" x14ac:dyDescent="0.3">
      <c r="A63">
        <v>61</v>
      </c>
      <c r="B63">
        <f t="shared" ca="1" si="0"/>
        <v>0.23072838225237702</v>
      </c>
      <c r="C63">
        <f t="shared" ca="1" si="1"/>
        <v>-1.2121999630163831</v>
      </c>
    </row>
    <row r="64" spans="1:3" x14ac:dyDescent="0.3">
      <c r="A64">
        <v>62</v>
      </c>
      <c r="B64">
        <f t="shared" ca="1" si="0"/>
        <v>-0.23757971618232576</v>
      </c>
      <c r="C64">
        <f t="shared" ca="1" si="1"/>
        <v>-1.4497796791987088</v>
      </c>
    </row>
    <row r="65" spans="1:3" x14ac:dyDescent="0.3">
      <c r="A65">
        <v>63</v>
      </c>
      <c r="B65">
        <f t="shared" ca="1" si="0"/>
        <v>-0.22380245006948507</v>
      </c>
      <c r="C65">
        <f t="shared" ca="1" si="1"/>
        <v>-1.6735821292681938</v>
      </c>
    </row>
    <row r="66" spans="1:3" x14ac:dyDescent="0.3">
      <c r="A66">
        <v>64</v>
      </c>
      <c r="B66">
        <f t="shared" ca="1" si="0"/>
        <v>0.31282107145035898</v>
      </c>
      <c r="C66">
        <f t="shared" ca="1" si="1"/>
        <v>-1.3607610578178349</v>
      </c>
    </row>
    <row r="67" spans="1:3" x14ac:dyDescent="0.3">
      <c r="A67">
        <v>65</v>
      </c>
      <c r="B67">
        <f t="shared" ca="1" si="0"/>
        <v>2.6593047541561776E-2</v>
      </c>
      <c r="C67">
        <f t="shared" ca="1" si="1"/>
        <v>-1.3341680102762732</v>
      </c>
    </row>
    <row r="68" spans="1:3" x14ac:dyDescent="0.3">
      <c r="A68">
        <v>66</v>
      </c>
      <c r="B68">
        <f t="shared" ref="B68:B101" ca="1" si="2">RAND()-0.5</f>
        <v>0.1021436341165104</v>
      </c>
      <c r="C68">
        <f t="shared" ref="C68:C101" ca="1" si="3">C67+B68</f>
        <v>-1.2320243761597629</v>
      </c>
    </row>
    <row r="69" spans="1:3" x14ac:dyDescent="0.3">
      <c r="A69">
        <v>67</v>
      </c>
      <c r="B69">
        <f t="shared" ca="1" si="2"/>
        <v>0.30155444324351122</v>
      </c>
      <c r="C69">
        <f t="shared" ca="1" si="3"/>
        <v>-0.93046993291625169</v>
      </c>
    </row>
    <row r="70" spans="1:3" x14ac:dyDescent="0.3">
      <c r="A70">
        <v>68</v>
      </c>
      <c r="B70">
        <f t="shared" ca="1" si="2"/>
        <v>-0.48374185147769544</v>
      </c>
      <c r="C70">
        <f t="shared" ca="1" si="3"/>
        <v>-1.414211784393947</v>
      </c>
    </row>
    <row r="71" spans="1:3" x14ac:dyDescent="0.3">
      <c r="A71">
        <v>69</v>
      </c>
      <c r="B71">
        <f t="shared" ca="1" si="2"/>
        <v>0.38979706737243425</v>
      </c>
      <c r="C71">
        <f t="shared" ca="1" si="3"/>
        <v>-1.0244147170215128</v>
      </c>
    </row>
    <row r="72" spans="1:3" x14ac:dyDescent="0.3">
      <c r="A72">
        <v>70</v>
      </c>
      <c r="B72">
        <f t="shared" ca="1" si="2"/>
        <v>0.49166852787803295</v>
      </c>
      <c r="C72">
        <f t="shared" ca="1" si="3"/>
        <v>-0.53274618914347982</v>
      </c>
    </row>
    <row r="73" spans="1:3" x14ac:dyDescent="0.3">
      <c r="A73">
        <v>71</v>
      </c>
      <c r="B73">
        <f t="shared" ca="1" si="2"/>
        <v>0.41741047207178272</v>
      </c>
      <c r="C73">
        <f t="shared" ca="1" si="3"/>
        <v>-0.1153357170716971</v>
      </c>
    </row>
    <row r="74" spans="1:3" x14ac:dyDescent="0.3">
      <c r="A74">
        <v>72</v>
      </c>
      <c r="B74">
        <f t="shared" ca="1" si="2"/>
        <v>8.0965596731916722E-2</v>
      </c>
      <c r="C74">
        <f t="shared" ca="1" si="3"/>
        <v>-3.4370120339780375E-2</v>
      </c>
    </row>
    <row r="75" spans="1:3" x14ac:dyDescent="0.3">
      <c r="A75">
        <v>73</v>
      </c>
      <c r="B75">
        <f t="shared" ca="1" si="2"/>
        <v>-0.27328217338044569</v>
      </c>
      <c r="C75">
        <f t="shared" ca="1" si="3"/>
        <v>-0.30765229372022607</v>
      </c>
    </row>
    <row r="76" spans="1:3" x14ac:dyDescent="0.3">
      <c r="A76">
        <v>74</v>
      </c>
      <c r="B76">
        <f t="shared" ca="1" si="2"/>
        <v>0.49244822991189185</v>
      </c>
      <c r="C76">
        <f t="shared" ca="1" si="3"/>
        <v>0.18479593619166579</v>
      </c>
    </row>
    <row r="77" spans="1:3" x14ac:dyDescent="0.3">
      <c r="A77">
        <v>75</v>
      </c>
      <c r="B77">
        <f t="shared" ca="1" si="2"/>
        <v>-0.13127387757043119</v>
      </c>
      <c r="C77">
        <f t="shared" ca="1" si="3"/>
        <v>5.3522058621234603E-2</v>
      </c>
    </row>
    <row r="78" spans="1:3" x14ac:dyDescent="0.3">
      <c r="A78">
        <v>76</v>
      </c>
      <c r="B78">
        <f t="shared" ca="1" si="2"/>
        <v>-0.22403781257906796</v>
      </c>
      <c r="C78">
        <f t="shared" ca="1" si="3"/>
        <v>-0.17051575395783336</v>
      </c>
    </row>
    <row r="79" spans="1:3" x14ac:dyDescent="0.3">
      <c r="A79">
        <v>77</v>
      </c>
      <c r="B79">
        <f t="shared" ca="1" si="2"/>
        <v>-0.42406239028120873</v>
      </c>
      <c r="C79">
        <f t="shared" ca="1" si="3"/>
        <v>-0.59457814423904209</v>
      </c>
    </row>
    <row r="80" spans="1:3" x14ac:dyDescent="0.3">
      <c r="A80">
        <v>78</v>
      </c>
      <c r="B80">
        <f t="shared" ca="1" si="2"/>
        <v>-0.3131398159333485</v>
      </c>
      <c r="C80">
        <f t="shared" ca="1" si="3"/>
        <v>-0.90771796017239059</v>
      </c>
    </row>
    <row r="81" spans="1:3" x14ac:dyDescent="0.3">
      <c r="A81">
        <v>79</v>
      </c>
      <c r="B81">
        <f t="shared" ca="1" si="2"/>
        <v>-0.29532825364326265</v>
      </c>
      <c r="C81">
        <f t="shared" ca="1" si="3"/>
        <v>-1.2030462138156532</v>
      </c>
    </row>
    <row r="82" spans="1:3" x14ac:dyDescent="0.3">
      <c r="A82">
        <v>80</v>
      </c>
      <c r="B82">
        <f t="shared" ca="1" si="2"/>
        <v>0.12614876846396816</v>
      </c>
      <c r="C82">
        <f t="shared" ca="1" si="3"/>
        <v>-1.0768974453516851</v>
      </c>
    </row>
    <row r="83" spans="1:3" x14ac:dyDescent="0.3">
      <c r="A83">
        <v>81</v>
      </c>
      <c r="B83">
        <f t="shared" ca="1" si="2"/>
        <v>0.34689639148868778</v>
      </c>
      <c r="C83">
        <f t="shared" ca="1" si="3"/>
        <v>-0.7300010538629973</v>
      </c>
    </row>
    <row r="84" spans="1:3" x14ac:dyDescent="0.3">
      <c r="A84">
        <v>82</v>
      </c>
      <c r="B84">
        <f t="shared" ca="1" si="2"/>
        <v>-0.36401479197037234</v>
      </c>
      <c r="C84">
        <f t="shared" ca="1" si="3"/>
        <v>-1.0940158458333697</v>
      </c>
    </row>
    <row r="85" spans="1:3" x14ac:dyDescent="0.3">
      <c r="A85">
        <v>83</v>
      </c>
      <c r="B85">
        <f t="shared" ca="1" si="2"/>
        <v>-0.3949631384796467</v>
      </c>
      <c r="C85">
        <f t="shared" ca="1" si="3"/>
        <v>-1.4889789843130163</v>
      </c>
    </row>
    <row r="86" spans="1:3" x14ac:dyDescent="0.3">
      <c r="A86">
        <v>84</v>
      </c>
      <c r="B86">
        <f t="shared" ca="1" si="2"/>
        <v>-0.27556601194896935</v>
      </c>
      <c r="C86">
        <f t="shared" ca="1" si="3"/>
        <v>-1.7645449962619857</v>
      </c>
    </row>
    <row r="87" spans="1:3" x14ac:dyDescent="0.3">
      <c r="A87">
        <v>85</v>
      </c>
      <c r="B87">
        <f t="shared" ca="1" si="2"/>
        <v>0.49971646125162317</v>
      </c>
      <c r="C87">
        <f t="shared" ca="1" si="3"/>
        <v>-1.2648285350103625</v>
      </c>
    </row>
    <row r="88" spans="1:3" x14ac:dyDescent="0.3">
      <c r="A88">
        <v>86</v>
      </c>
      <c r="B88">
        <f t="shared" ca="1" si="2"/>
        <v>-0.18332849948603991</v>
      </c>
      <c r="C88">
        <f t="shared" ca="1" si="3"/>
        <v>-1.4481570344964023</v>
      </c>
    </row>
    <row r="89" spans="1:3" x14ac:dyDescent="0.3">
      <c r="A89">
        <v>87</v>
      </c>
      <c r="B89">
        <f t="shared" ca="1" si="2"/>
        <v>0.27602284297032842</v>
      </c>
      <c r="C89">
        <f t="shared" ca="1" si="3"/>
        <v>-1.1721341915260739</v>
      </c>
    </row>
    <row r="90" spans="1:3" x14ac:dyDescent="0.3">
      <c r="A90">
        <v>88</v>
      </c>
      <c r="B90">
        <f t="shared" ca="1" si="2"/>
        <v>0.2460412885637534</v>
      </c>
      <c r="C90">
        <f t="shared" ca="1" si="3"/>
        <v>-0.9260929029623205</v>
      </c>
    </row>
    <row r="91" spans="1:3" x14ac:dyDescent="0.3">
      <c r="A91">
        <v>89</v>
      </c>
      <c r="B91">
        <f t="shared" ca="1" si="2"/>
        <v>0.32406085020251496</v>
      </c>
      <c r="C91">
        <f t="shared" ca="1" si="3"/>
        <v>-0.60203205275980554</v>
      </c>
    </row>
    <row r="92" spans="1:3" x14ac:dyDescent="0.3">
      <c r="A92">
        <v>90</v>
      </c>
      <c r="B92">
        <f t="shared" ca="1" si="2"/>
        <v>-0.21703396985430601</v>
      </c>
      <c r="C92">
        <f t="shared" ca="1" si="3"/>
        <v>-0.81906602261411154</v>
      </c>
    </row>
    <row r="93" spans="1:3" x14ac:dyDescent="0.3">
      <c r="A93">
        <v>91</v>
      </c>
      <c r="B93">
        <f t="shared" ca="1" si="2"/>
        <v>-0.29714267312593046</v>
      </c>
      <c r="C93">
        <f t="shared" ca="1" si="3"/>
        <v>-1.1162086957400419</v>
      </c>
    </row>
    <row r="94" spans="1:3" x14ac:dyDescent="0.3">
      <c r="A94">
        <v>92</v>
      </c>
      <c r="B94">
        <f t="shared" ca="1" si="2"/>
        <v>-0.34213644779889252</v>
      </c>
      <c r="C94">
        <f t="shared" ca="1" si="3"/>
        <v>-1.4583451435389345</v>
      </c>
    </row>
    <row r="95" spans="1:3" x14ac:dyDescent="0.3">
      <c r="A95">
        <v>93</v>
      </c>
      <c r="B95">
        <f t="shared" ca="1" si="2"/>
        <v>-0.45009381567776829</v>
      </c>
      <c r="C95">
        <f t="shared" ca="1" si="3"/>
        <v>-1.9084389592167028</v>
      </c>
    </row>
    <row r="96" spans="1:3" x14ac:dyDescent="0.3">
      <c r="A96">
        <v>94</v>
      </c>
      <c r="B96">
        <f t="shared" ca="1" si="2"/>
        <v>-0.44263269959847829</v>
      </c>
      <c r="C96">
        <f t="shared" ca="1" si="3"/>
        <v>-2.3510716588151812</v>
      </c>
    </row>
    <row r="97" spans="1:3" x14ac:dyDescent="0.3">
      <c r="A97">
        <v>95</v>
      </c>
      <c r="B97">
        <f t="shared" ca="1" si="2"/>
        <v>6.5219673250564991E-3</v>
      </c>
      <c r="C97">
        <f t="shared" ca="1" si="3"/>
        <v>-2.3445496914901245</v>
      </c>
    </row>
    <row r="98" spans="1:3" x14ac:dyDescent="0.3">
      <c r="A98">
        <v>96</v>
      </c>
      <c r="B98">
        <f t="shared" ca="1" si="2"/>
        <v>-0.34902745772081278</v>
      </c>
      <c r="C98">
        <f t="shared" ca="1" si="3"/>
        <v>-2.6935771492109373</v>
      </c>
    </row>
    <row r="99" spans="1:3" x14ac:dyDescent="0.3">
      <c r="A99">
        <v>97</v>
      </c>
      <c r="B99">
        <f t="shared" ca="1" si="2"/>
        <v>0.14235378989380654</v>
      </c>
      <c r="C99">
        <f t="shared" ca="1" si="3"/>
        <v>-2.551223359317131</v>
      </c>
    </row>
    <row r="100" spans="1:3" x14ac:dyDescent="0.3">
      <c r="A100">
        <v>98</v>
      </c>
      <c r="B100">
        <f t="shared" ca="1" si="2"/>
        <v>0.36407435254551168</v>
      </c>
      <c r="C100">
        <f t="shared" ca="1" si="3"/>
        <v>-2.1871490067716195</v>
      </c>
    </row>
    <row r="101" spans="1:3" x14ac:dyDescent="0.3">
      <c r="A101">
        <v>99</v>
      </c>
      <c r="B101">
        <f t="shared" ca="1" si="2"/>
        <v>0.25458904134451621</v>
      </c>
      <c r="C101">
        <f t="shared" ca="1" si="3"/>
        <v>-1.9325599654271033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문제1</vt:lpstr>
      <vt:lpstr>문제2-1</vt:lpstr>
      <vt:lpstr>문제2-2</vt:lpstr>
      <vt:lpstr>문제3</vt:lpstr>
      <vt:lpstr>문제4-1</vt:lpstr>
      <vt:lpstr>문제4-1 출력</vt:lpstr>
      <vt:lpstr>문제4-2</vt:lpstr>
      <vt:lpstr>문제4-2 출력</vt:lpstr>
      <vt:lpstr>문제4-3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2020-05-25T12:55:19Z</dcterms:created>
  <dcterms:modified xsi:type="dcterms:W3CDTF">2020-05-25T15:02:12Z</dcterms:modified>
</cp:coreProperties>
</file>