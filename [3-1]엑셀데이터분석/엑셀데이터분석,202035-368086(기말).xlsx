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학습\3학년 1학기\4.엑셀데이터분석\"/>
    </mc:Choice>
  </mc:AlternateContent>
  <xr:revisionPtr revIDLastSave="0" documentId="13_ncr:1_{0ABF8C06-6592-427B-B6AD-4240DC5F7AF1}" xr6:coauthVersionLast="45" xr6:coauthVersionMax="45" xr10:uidLastSave="{00000000-0000-0000-0000-000000000000}"/>
  <bookViews>
    <workbookView xWindow="2640" yWindow="2640" windowWidth="21600" windowHeight="11505" firstSheet="3" activeTab="9" xr2:uid="{076CD940-B76F-4D19-9607-9EAAF0CD17DB}"/>
  </bookViews>
  <sheets>
    <sheet name="문제1" sheetId="1" r:id="rId1"/>
    <sheet name="문제2" sheetId="2" r:id="rId2"/>
    <sheet name="문제3-1" sheetId="3" r:id="rId3"/>
    <sheet name="문제3-2" sheetId="7" r:id="rId4"/>
    <sheet name="_#TmpKess1#_" sheetId="9" state="hidden" r:id="rId5"/>
    <sheet name="Sheet10" sheetId="10" state="hidden" r:id="rId6"/>
    <sheet name="문제4" sheetId="8" r:id="rId7"/>
    <sheet name="문제5-1" sheetId="11" r:id="rId8"/>
    <sheet name="_TempBoxplot_" sheetId="13" state="hidden" r:id="rId9"/>
    <sheet name="_통계분석결과_" sheetId="14" r:id="rId10"/>
    <sheet name="문제5-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" i="8" l="1"/>
  <c r="G17" i="8"/>
  <c r="G5" i="3"/>
  <c r="F4" i="3"/>
  <c r="F3" i="3"/>
  <c r="F5" i="3"/>
  <c r="F2" i="3"/>
  <c r="A6" i="2"/>
  <c r="A40" i="1" l="1"/>
  <c r="A12" i="2"/>
  <c r="C40" i="1" l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39" i="1"/>
  <c r="A39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A22" i="1"/>
  <c r="A21" i="1"/>
  <c r="A4" i="1"/>
  <c r="A3" i="1"/>
</calcChain>
</file>

<file path=xl/sharedStrings.xml><?xml version="1.0" encoding="utf-8"?>
<sst xmlns="http://schemas.openxmlformats.org/spreadsheetml/2006/main" count="115" uniqueCount="71">
  <si>
    <t>1번 문제</t>
    <phoneticPr fontId="1" type="noConversion"/>
  </si>
  <si>
    <t>"(1)"</t>
    <phoneticPr fontId="1" type="noConversion"/>
  </si>
  <si>
    <t>"(2)"</t>
    <phoneticPr fontId="1" type="noConversion"/>
  </si>
  <si>
    <t>"(3)"</t>
    <phoneticPr fontId="1" type="noConversion"/>
  </si>
  <si>
    <t>2번 문제</t>
    <phoneticPr fontId="1" type="noConversion"/>
  </si>
  <si>
    <t>우리나라 성인남자의 신장이 평균이 170, 표준편차가 12인 정규분포를 따른다고 할 때,</t>
    <phoneticPr fontId="1" type="noConversion"/>
  </si>
  <si>
    <t>성인남자 100명을 랜덤추출한 경우 표본평균은 N(170, 12^2/100)인 정규분포를 따른다.</t>
    <phoneticPr fontId="1" type="noConversion"/>
  </si>
  <si>
    <t>평균 = 170, 표준편차 = 1.2</t>
    <phoneticPr fontId="1" type="noConversion"/>
  </si>
  <si>
    <t>하루 1000개를 생산하고 부품의 불량률이 5%라고 할 때</t>
    <phoneticPr fontId="1" type="noConversion"/>
  </si>
  <si>
    <t>평균 불량품 개수 = 1000 * 0.05 = 50개 이고, 분산 = 1000 * 0.05 * 0.95 = 47.5 이다.</t>
    <phoneticPr fontId="1" type="noConversion"/>
  </si>
  <si>
    <t>하루 동안 발생하는 불량 부품의 개수가 40개보다 많게 될 확률은</t>
    <phoneticPr fontId="1" type="noConversion"/>
  </si>
  <si>
    <t>표본평균 X의 분포가 근사적으로 정규분포(50, 47.5)을 따른다는 것을 이용하여 구할 수 있다.</t>
    <phoneticPr fontId="1" type="noConversion"/>
  </si>
  <si>
    <t>Data</t>
    <phoneticPr fontId="1" type="noConversion"/>
  </si>
  <si>
    <t>모평균의 추정량</t>
    <phoneticPr fontId="1" type="noConversion"/>
  </si>
  <si>
    <t>표준편차/오차의 추정량</t>
    <phoneticPr fontId="1" type="noConversion"/>
  </si>
  <si>
    <t>분산의 추정량</t>
    <phoneticPr fontId="1" type="noConversion"/>
  </si>
  <si>
    <t>모평균의 95% 신뢰구간</t>
    <phoneticPr fontId="1" type="noConversion"/>
  </si>
  <si>
    <t>평균</t>
  </si>
  <si>
    <t>개수</t>
  </si>
  <si>
    <t>표준편차</t>
  </si>
  <si>
    <t>자유도</t>
  </si>
  <si>
    <t>유의확률</t>
  </si>
  <si>
    <t>홈런수</t>
    <phoneticPr fontId="1" type="noConversion"/>
  </si>
  <si>
    <t>X1</t>
    <phoneticPr fontId="1" type="noConversion"/>
  </si>
  <si>
    <t>X2</t>
    <phoneticPr fontId="1" type="noConversion"/>
  </si>
  <si>
    <t>Y</t>
    <phoneticPr fontId="1" type="noConversion"/>
  </si>
  <si>
    <t>상관계수</t>
    <phoneticPr fontId="1" type="noConversion"/>
  </si>
  <si>
    <t>Y-X1</t>
    <phoneticPr fontId="1" type="noConversion"/>
  </si>
  <si>
    <t>Y-X2</t>
    <phoneticPr fontId="1" type="noConversion"/>
  </si>
  <si>
    <t>요인</t>
  </si>
  <si>
    <t>제곱합</t>
  </si>
  <si>
    <t>평균제곱</t>
  </si>
  <si>
    <t>잔차</t>
  </si>
  <si>
    <t>계</t>
  </si>
  <si>
    <t>obs</t>
  </si>
  <si>
    <t>e</t>
  </si>
  <si>
    <t>r</t>
  </si>
  <si>
    <t>r_</t>
  </si>
  <si>
    <t>y</t>
  </si>
  <si>
    <t>yhat</t>
  </si>
  <si>
    <t>lci</t>
  </si>
  <si>
    <t>uci</t>
  </si>
  <si>
    <t>x</t>
  </si>
  <si>
    <t>Standard</t>
    <phoneticPr fontId="1" type="noConversion"/>
  </si>
  <si>
    <t>New</t>
    <phoneticPr fontId="1" type="noConversion"/>
  </si>
  <si>
    <t>A1</t>
  </si>
  <si>
    <t>A1</t>
    <phoneticPr fontId="1" type="noConversion"/>
  </si>
  <si>
    <t>A2</t>
  </si>
  <si>
    <t>A2</t>
    <phoneticPr fontId="1" type="noConversion"/>
  </si>
  <si>
    <t>A3</t>
  </si>
  <si>
    <t>A3</t>
    <phoneticPr fontId="1" type="noConversion"/>
  </si>
  <si>
    <t>A4</t>
  </si>
  <si>
    <t>A4</t>
    <phoneticPr fontId="1" type="noConversion"/>
  </si>
  <si>
    <t>A5</t>
  </si>
  <si>
    <t>A5</t>
    <phoneticPr fontId="1" type="noConversion"/>
  </si>
  <si>
    <t>Levene's test</t>
  </si>
  <si>
    <t>F값</t>
  </si>
  <si>
    <t>처리</t>
  </si>
  <si>
    <t>"H0:요인 수준 간 모분산들이 서로 같다."를 유의수준 α=0.05에서 기각하지 못한다.</t>
  </si>
  <si>
    <t>즉, 모분산들이 (p&gt;0.05) 차이가 없다.</t>
  </si>
  <si>
    <t>등분산 가정이 만족 된다.</t>
  </si>
  <si>
    <t>"H0:모평균들이 서로 같다."를 유의수준 α=0.01에서 기각한다.</t>
  </si>
  <si>
    <t>즉, 표본평균들이 아주 뚜렷한(p&lt;0.01) 차이가 있다.</t>
  </si>
  <si>
    <t>Fisher's LSD</t>
  </si>
  <si>
    <t>유의수준 = 0.05 에 대한 그룹</t>
  </si>
  <si>
    <t>자료수</t>
  </si>
  <si>
    <t xml:space="preserve"> 그룹 1</t>
  </si>
  <si>
    <t xml:space="preserve"> 그룹 2</t>
  </si>
  <si>
    <t xml:space="preserve"> 그룹 3</t>
  </si>
  <si>
    <t xml:space="preserve"> 그룹 4</t>
  </si>
  <si>
    <t xml:space="preserve"> 같은 그룹에 속한 경우 유의수준 α= 0.05 에서 처리평균에 차이가 없는 것으로 판단한다.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</si>
</sst>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000"/>
    <numFmt numFmtId="181" formatCode="0.0000000"/>
    <numFmt numFmtId="185" formatCode="0.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9"/>
      <color indexed="9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185" fontId="0" fillId="0" borderId="0" xfId="0" applyNumberFormat="1">
      <alignment vertical="center"/>
    </xf>
    <xf numFmtId="0" fontId="2" fillId="0" borderId="3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문제1!$B$3:$B$18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문제1!$C$3:$C$18</c:f>
              <c:numCache>
                <c:formatCode>General</c:formatCode>
                <c:ptCount val="16"/>
                <c:pt idx="0">
                  <c:v>1.434890700000002E-8</c:v>
                </c:pt>
                <c:pt idx="1">
                  <c:v>5.0221174500000008E-7</c:v>
                </c:pt>
                <c:pt idx="2">
                  <c:v>8.2027918350000286E-6</c:v>
                </c:pt>
                <c:pt idx="3">
                  <c:v>8.2939339665000255E-5</c:v>
                </c:pt>
                <c:pt idx="4">
                  <c:v>5.8057537765500173E-4</c:v>
                </c:pt>
                <c:pt idx="5">
                  <c:v>2.9802869386290056E-3</c:v>
                </c:pt>
                <c:pt idx="6">
                  <c:v>1.1590004761335015E-2</c:v>
                </c:pt>
                <c:pt idx="7">
                  <c:v>3.4770014284004995E-2</c:v>
                </c:pt>
                <c:pt idx="8">
                  <c:v>8.1130033329345014E-2</c:v>
                </c:pt>
                <c:pt idx="9">
                  <c:v>0.14723598641251504</c:v>
                </c:pt>
                <c:pt idx="10">
                  <c:v>0.20613038097752104</c:v>
                </c:pt>
                <c:pt idx="11">
                  <c:v>0.21862313133979494</c:v>
                </c:pt>
                <c:pt idx="12">
                  <c:v>0.17004021326428495</c:v>
                </c:pt>
                <c:pt idx="13">
                  <c:v>9.1560114834614986E-2</c:v>
                </c:pt>
                <c:pt idx="14">
                  <c:v>3.0520038278204983E-2</c:v>
                </c:pt>
                <c:pt idx="15">
                  <c:v>4.7475615099429949E-3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4-4A7B-8C27-045DCE24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392111"/>
        <c:axId val="966783871"/>
      </c:barChart>
      <c:catAx>
        <c:axId val="86939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6783871"/>
        <c:crosses val="autoZero"/>
        <c:auto val="1"/>
        <c:lblAlgn val="ctr"/>
        <c:lblOffset val="100"/>
        <c:noMultiLvlLbl val="0"/>
      </c:catAx>
      <c:valAx>
        <c:axId val="9667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939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문제1!$B$21:$B$36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문제1!$C$21:$C$36</c:f>
              <c:numCache>
                <c:formatCode>General</c:formatCode>
                <c:ptCount val="16"/>
                <c:pt idx="0">
                  <c:v>4.9787068367863944E-2</c:v>
                </c:pt>
                <c:pt idx="1">
                  <c:v>0.14936120510359185</c:v>
                </c:pt>
                <c:pt idx="2">
                  <c:v>0.22404180765538775</c:v>
                </c:pt>
                <c:pt idx="3">
                  <c:v>0.22404180765538778</c:v>
                </c:pt>
                <c:pt idx="4">
                  <c:v>0.16803135574154085</c:v>
                </c:pt>
                <c:pt idx="5">
                  <c:v>0.10081881344492449</c:v>
                </c:pt>
                <c:pt idx="6">
                  <c:v>5.0409406722462261E-2</c:v>
                </c:pt>
                <c:pt idx="7">
                  <c:v>2.1604031452483807E-2</c:v>
                </c:pt>
                <c:pt idx="8">
                  <c:v>8.1015117946814375E-3</c:v>
                </c:pt>
                <c:pt idx="9">
                  <c:v>2.7005039315604771E-3</c:v>
                </c:pt>
                <c:pt idx="10">
                  <c:v>8.1015117946814244E-4</c:v>
                </c:pt>
                <c:pt idx="11">
                  <c:v>2.2095032167312987E-4</c:v>
                </c:pt>
                <c:pt idx="12">
                  <c:v>5.5237580418282596E-5</c:v>
                </c:pt>
                <c:pt idx="13">
                  <c:v>1.2747133942680586E-5</c:v>
                </c:pt>
                <c:pt idx="14">
                  <c:v>2.7315287020029766E-6</c:v>
                </c:pt>
                <c:pt idx="15">
                  <c:v>5.4630574040059675E-7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D-4D0D-B933-79203EE41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114991"/>
        <c:axId val="966777215"/>
      </c:barChart>
      <c:catAx>
        <c:axId val="97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6777215"/>
        <c:crosses val="autoZero"/>
        <c:auto val="1"/>
        <c:lblAlgn val="ctr"/>
        <c:lblOffset val="100"/>
        <c:noMultiLvlLbl val="0"/>
      </c:catAx>
      <c:valAx>
        <c:axId val="966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411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문제1!$B$39:$B$79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문제1!$C$39:$C$79</c:f>
              <c:numCache>
                <c:formatCode>General</c:formatCode>
                <c:ptCount val="41"/>
                <c:pt idx="0">
                  <c:v>3.1671241833119857E-5</c:v>
                </c:pt>
                <c:pt idx="1">
                  <c:v>7.234804392511999E-5</c:v>
                </c:pt>
                <c:pt idx="2">
                  <c:v>1.5910859015753364E-4</c:v>
                </c:pt>
                <c:pt idx="3">
                  <c:v>3.369292656768808E-4</c:v>
                </c:pt>
                <c:pt idx="4">
                  <c:v>6.8713793791584719E-4</c:v>
                </c:pt>
                <c:pt idx="5">
                  <c:v>1.3498980316300933E-3</c:v>
                </c:pt>
                <c:pt idx="6">
                  <c:v>2.5551303304279312E-3</c:v>
                </c:pt>
                <c:pt idx="7">
                  <c:v>4.6611880237187476E-3</c:v>
                </c:pt>
                <c:pt idx="8">
                  <c:v>8.1975359245961311E-3</c:v>
                </c:pt>
                <c:pt idx="9">
                  <c:v>1.3903447513498597E-2</c:v>
                </c:pt>
                <c:pt idx="10">
                  <c:v>2.2750131948179191E-2</c:v>
                </c:pt>
                <c:pt idx="11">
                  <c:v>3.5930319112925789E-2</c:v>
                </c:pt>
                <c:pt idx="12">
                  <c:v>5.4799291699557967E-2</c:v>
                </c:pt>
                <c:pt idx="13">
                  <c:v>8.0756659233771053E-2</c:v>
                </c:pt>
                <c:pt idx="14">
                  <c:v>0.11506967022170828</c:v>
                </c:pt>
                <c:pt idx="15">
                  <c:v>0.15865525393145699</c:v>
                </c:pt>
                <c:pt idx="16">
                  <c:v>0.21185539858339661</c:v>
                </c:pt>
                <c:pt idx="17">
                  <c:v>0.27425311775007355</c:v>
                </c:pt>
                <c:pt idx="18">
                  <c:v>0.34457825838967576</c:v>
                </c:pt>
                <c:pt idx="19">
                  <c:v>0.42074029056089696</c:v>
                </c:pt>
                <c:pt idx="20">
                  <c:v>0.5</c:v>
                </c:pt>
                <c:pt idx="21">
                  <c:v>0.57925970943910299</c:v>
                </c:pt>
                <c:pt idx="22">
                  <c:v>0.65542174161032429</c:v>
                </c:pt>
                <c:pt idx="23">
                  <c:v>0.72574688224992645</c:v>
                </c:pt>
                <c:pt idx="24">
                  <c:v>0.78814460141660336</c:v>
                </c:pt>
                <c:pt idx="25">
                  <c:v>0.84134474606854304</c:v>
                </c:pt>
                <c:pt idx="26">
                  <c:v>0.88493032977829178</c:v>
                </c:pt>
                <c:pt idx="27">
                  <c:v>0.91924334076622893</c:v>
                </c:pt>
                <c:pt idx="28">
                  <c:v>0.94520070830044201</c:v>
                </c:pt>
                <c:pt idx="29">
                  <c:v>0.96406968088707423</c:v>
                </c:pt>
                <c:pt idx="30">
                  <c:v>0.97724986805182079</c:v>
                </c:pt>
                <c:pt idx="31">
                  <c:v>0.98609655248650141</c:v>
                </c:pt>
                <c:pt idx="32">
                  <c:v>0.99180246407540384</c:v>
                </c:pt>
                <c:pt idx="33">
                  <c:v>0.99533881197628127</c:v>
                </c:pt>
                <c:pt idx="34">
                  <c:v>0.99744486966957202</c:v>
                </c:pt>
                <c:pt idx="35">
                  <c:v>0.9986501019683699</c:v>
                </c:pt>
                <c:pt idx="36">
                  <c:v>0.99931286206208414</c:v>
                </c:pt>
                <c:pt idx="37">
                  <c:v>0.99966307073432314</c:v>
                </c:pt>
                <c:pt idx="38">
                  <c:v>0.99984089140984245</c:v>
                </c:pt>
                <c:pt idx="39">
                  <c:v>0.99992765195607491</c:v>
                </c:pt>
                <c:pt idx="40">
                  <c:v>0.99996832875816688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F-4557-A853-174DE886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191919"/>
        <c:axId val="966783455"/>
      </c:barChart>
      <c:catAx>
        <c:axId val="9651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6783455"/>
        <c:crosses val="autoZero"/>
        <c:auto val="1"/>
        <c:lblAlgn val="ctr"/>
        <c:lblOffset val="100"/>
        <c:noMultiLvlLbl val="0"/>
      </c:catAx>
      <c:valAx>
        <c:axId val="9667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51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(Y, X1)</a:t>
            </a:r>
            <a:r>
              <a:rPr lang="en-US" altLang="ko-KR" baseline="0"/>
              <a:t> </a:t>
            </a:r>
            <a:r>
              <a:rPr lang="ko-KR" altLang="en-US" baseline="0"/>
              <a:t>산점도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문제4!$C$1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xVal>
            <c:numRef>
              <c:f>문제4!$A$2:$A$19</c:f>
              <c:numCache>
                <c:formatCode>General</c:formatCode>
                <c:ptCount val="18"/>
                <c:pt idx="0">
                  <c:v>0.3</c:v>
                </c:pt>
                <c:pt idx="1">
                  <c:v>0.4</c:v>
                </c:pt>
                <c:pt idx="2">
                  <c:v>3.1</c:v>
                </c:pt>
                <c:pt idx="3">
                  <c:v>0.6</c:v>
                </c:pt>
                <c:pt idx="4">
                  <c:v>4.7</c:v>
                </c:pt>
                <c:pt idx="5">
                  <c:v>1.7</c:v>
                </c:pt>
                <c:pt idx="6">
                  <c:v>9.4</c:v>
                </c:pt>
                <c:pt idx="7">
                  <c:v>10.1</c:v>
                </c:pt>
                <c:pt idx="8">
                  <c:v>11.6</c:v>
                </c:pt>
                <c:pt idx="9">
                  <c:v>12.6</c:v>
                </c:pt>
                <c:pt idx="10">
                  <c:v>10.9</c:v>
                </c:pt>
                <c:pt idx="11">
                  <c:v>23.1</c:v>
                </c:pt>
                <c:pt idx="12">
                  <c:v>23.1</c:v>
                </c:pt>
                <c:pt idx="13">
                  <c:v>21.6</c:v>
                </c:pt>
                <c:pt idx="14">
                  <c:v>23.1</c:v>
                </c:pt>
                <c:pt idx="15">
                  <c:v>1.9</c:v>
                </c:pt>
                <c:pt idx="16">
                  <c:v>26.8</c:v>
                </c:pt>
                <c:pt idx="17">
                  <c:v>29.9</c:v>
                </c:pt>
              </c:numCache>
            </c:numRef>
          </c:xVal>
          <c:yVal>
            <c:numRef>
              <c:f>문제4!$C$2:$C$19</c:f>
              <c:numCache>
                <c:formatCode>General</c:formatCode>
                <c:ptCount val="18"/>
                <c:pt idx="0">
                  <c:v>64</c:v>
                </c:pt>
                <c:pt idx="1">
                  <c:v>60</c:v>
                </c:pt>
                <c:pt idx="2">
                  <c:v>71</c:v>
                </c:pt>
                <c:pt idx="3">
                  <c:v>61</c:v>
                </c:pt>
                <c:pt idx="4">
                  <c:v>54</c:v>
                </c:pt>
                <c:pt idx="5">
                  <c:v>77</c:v>
                </c:pt>
                <c:pt idx="6">
                  <c:v>81</c:v>
                </c:pt>
                <c:pt idx="7">
                  <c:v>93</c:v>
                </c:pt>
                <c:pt idx="8">
                  <c:v>93</c:v>
                </c:pt>
                <c:pt idx="9">
                  <c:v>51</c:v>
                </c:pt>
                <c:pt idx="10">
                  <c:v>76</c:v>
                </c:pt>
                <c:pt idx="11">
                  <c:v>96</c:v>
                </c:pt>
                <c:pt idx="12">
                  <c:v>77</c:v>
                </c:pt>
                <c:pt idx="13">
                  <c:v>93</c:v>
                </c:pt>
                <c:pt idx="14">
                  <c:v>95</c:v>
                </c:pt>
                <c:pt idx="15">
                  <c:v>54</c:v>
                </c:pt>
                <c:pt idx="16">
                  <c:v>168</c:v>
                </c:pt>
                <c:pt idx="17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70-4263-92D6-17A0B989A952}"/>
            </c:ext>
          </c:extLst>
        </c:ser>
        <c:ser>
          <c:idx val="3"/>
          <c:order val="1"/>
          <c:tx>
            <c:strRef>
              <c:f>문제4!$C$1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xVal>
            <c:numRef>
              <c:f>문제4!$A$2:$A$19</c:f>
              <c:numCache>
                <c:formatCode>General</c:formatCode>
                <c:ptCount val="18"/>
                <c:pt idx="0">
                  <c:v>0.3</c:v>
                </c:pt>
                <c:pt idx="1">
                  <c:v>0.4</c:v>
                </c:pt>
                <c:pt idx="2">
                  <c:v>3.1</c:v>
                </c:pt>
                <c:pt idx="3">
                  <c:v>0.6</c:v>
                </c:pt>
                <c:pt idx="4">
                  <c:v>4.7</c:v>
                </c:pt>
                <c:pt idx="5">
                  <c:v>1.7</c:v>
                </c:pt>
                <c:pt idx="6">
                  <c:v>9.4</c:v>
                </c:pt>
                <c:pt idx="7">
                  <c:v>10.1</c:v>
                </c:pt>
                <c:pt idx="8">
                  <c:v>11.6</c:v>
                </c:pt>
                <c:pt idx="9">
                  <c:v>12.6</c:v>
                </c:pt>
                <c:pt idx="10">
                  <c:v>10.9</c:v>
                </c:pt>
                <c:pt idx="11">
                  <c:v>23.1</c:v>
                </c:pt>
                <c:pt idx="12">
                  <c:v>23.1</c:v>
                </c:pt>
                <c:pt idx="13">
                  <c:v>21.6</c:v>
                </c:pt>
                <c:pt idx="14">
                  <c:v>23.1</c:v>
                </c:pt>
                <c:pt idx="15">
                  <c:v>1.9</c:v>
                </c:pt>
                <c:pt idx="16">
                  <c:v>26.8</c:v>
                </c:pt>
                <c:pt idx="17">
                  <c:v>29.9</c:v>
                </c:pt>
              </c:numCache>
            </c:numRef>
          </c:xVal>
          <c:yVal>
            <c:numRef>
              <c:f>문제4!$C$2:$C$19</c:f>
              <c:numCache>
                <c:formatCode>General</c:formatCode>
                <c:ptCount val="18"/>
                <c:pt idx="0">
                  <c:v>64</c:v>
                </c:pt>
                <c:pt idx="1">
                  <c:v>60</c:v>
                </c:pt>
                <c:pt idx="2">
                  <c:v>71</c:v>
                </c:pt>
                <c:pt idx="3">
                  <c:v>61</c:v>
                </c:pt>
                <c:pt idx="4">
                  <c:v>54</c:v>
                </c:pt>
                <c:pt idx="5">
                  <c:v>77</c:v>
                </c:pt>
                <c:pt idx="6">
                  <c:v>81</c:v>
                </c:pt>
                <c:pt idx="7">
                  <c:v>93</c:v>
                </c:pt>
                <c:pt idx="8">
                  <c:v>93</c:v>
                </c:pt>
                <c:pt idx="9">
                  <c:v>51</c:v>
                </c:pt>
                <c:pt idx="10">
                  <c:v>76</c:v>
                </c:pt>
                <c:pt idx="11">
                  <c:v>96</c:v>
                </c:pt>
                <c:pt idx="12">
                  <c:v>77</c:v>
                </c:pt>
                <c:pt idx="13">
                  <c:v>93</c:v>
                </c:pt>
                <c:pt idx="14">
                  <c:v>95</c:v>
                </c:pt>
                <c:pt idx="15">
                  <c:v>54</c:v>
                </c:pt>
                <c:pt idx="16">
                  <c:v>168</c:v>
                </c:pt>
                <c:pt idx="17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70-4263-92D6-17A0B989A952}"/>
            </c:ext>
          </c:extLst>
        </c:ser>
        <c:ser>
          <c:idx val="1"/>
          <c:order val="2"/>
          <c:tx>
            <c:strRef>
              <c:f>문제4!$C$1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xVal>
            <c:numRef>
              <c:f>문제4!$A$2:$A$19</c:f>
              <c:numCache>
                <c:formatCode>General</c:formatCode>
                <c:ptCount val="18"/>
                <c:pt idx="0">
                  <c:v>0.3</c:v>
                </c:pt>
                <c:pt idx="1">
                  <c:v>0.4</c:v>
                </c:pt>
                <c:pt idx="2">
                  <c:v>3.1</c:v>
                </c:pt>
                <c:pt idx="3">
                  <c:v>0.6</c:v>
                </c:pt>
                <c:pt idx="4">
                  <c:v>4.7</c:v>
                </c:pt>
                <c:pt idx="5">
                  <c:v>1.7</c:v>
                </c:pt>
                <c:pt idx="6">
                  <c:v>9.4</c:v>
                </c:pt>
                <c:pt idx="7">
                  <c:v>10.1</c:v>
                </c:pt>
                <c:pt idx="8">
                  <c:v>11.6</c:v>
                </c:pt>
                <c:pt idx="9">
                  <c:v>12.6</c:v>
                </c:pt>
                <c:pt idx="10">
                  <c:v>10.9</c:v>
                </c:pt>
                <c:pt idx="11">
                  <c:v>23.1</c:v>
                </c:pt>
                <c:pt idx="12">
                  <c:v>23.1</c:v>
                </c:pt>
                <c:pt idx="13">
                  <c:v>21.6</c:v>
                </c:pt>
                <c:pt idx="14">
                  <c:v>23.1</c:v>
                </c:pt>
                <c:pt idx="15">
                  <c:v>1.9</c:v>
                </c:pt>
                <c:pt idx="16">
                  <c:v>26.8</c:v>
                </c:pt>
                <c:pt idx="17">
                  <c:v>29.9</c:v>
                </c:pt>
              </c:numCache>
            </c:numRef>
          </c:xVal>
          <c:yVal>
            <c:numRef>
              <c:f>문제4!$C$2:$C$19</c:f>
              <c:numCache>
                <c:formatCode>General</c:formatCode>
                <c:ptCount val="18"/>
                <c:pt idx="0">
                  <c:v>64</c:v>
                </c:pt>
                <c:pt idx="1">
                  <c:v>60</c:v>
                </c:pt>
                <c:pt idx="2">
                  <c:v>71</c:v>
                </c:pt>
                <c:pt idx="3">
                  <c:v>61</c:v>
                </c:pt>
                <c:pt idx="4">
                  <c:v>54</c:v>
                </c:pt>
                <c:pt idx="5">
                  <c:v>77</c:v>
                </c:pt>
                <c:pt idx="6">
                  <c:v>81</c:v>
                </c:pt>
                <c:pt idx="7">
                  <c:v>93</c:v>
                </c:pt>
                <c:pt idx="8">
                  <c:v>93</c:v>
                </c:pt>
                <c:pt idx="9">
                  <c:v>51</c:v>
                </c:pt>
                <c:pt idx="10">
                  <c:v>76</c:v>
                </c:pt>
                <c:pt idx="11">
                  <c:v>96</c:v>
                </c:pt>
                <c:pt idx="12">
                  <c:v>77</c:v>
                </c:pt>
                <c:pt idx="13">
                  <c:v>93</c:v>
                </c:pt>
                <c:pt idx="14">
                  <c:v>95</c:v>
                </c:pt>
                <c:pt idx="15">
                  <c:v>54</c:v>
                </c:pt>
                <c:pt idx="16">
                  <c:v>168</c:v>
                </c:pt>
                <c:pt idx="17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70-4263-92D6-17A0B989A952}"/>
            </c:ext>
          </c:extLst>
        </c:ser>
        <c:ser>
          <c:idx val="0"/>
          <c:order val="3"/>
          <c:tx>
            <c:strRef>
              <c:f>문제4!$C$1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문제4!$A$2:$A$19</c:f>
              <c:numCache>
                <c:formatCode>General</c:formatCode>
                <c:ptCount val="18"/>
                <c:pt idx="0">
                  <c:v>0.3</c:v>
                </c:pt>
                <c:pt idx="1">
                  <c:v>0.4</c:v>
                </c:pt>
                <c:pt idx="2">
                  <c:v>3.1</c:v>
                </c:pt>
                <c:pt idx="3">
                  <c:v>0.6</c:v>
                </c:pt>
                <c:pt idx="4">
                  <c:v>4.7</c:v>
                </c:pt>
                <c:pt idx="5">
                  <c:v>1.7</c:v>
                </c:pt>
                <c:pt idx="6">
                  <c:v>9.4</c:v>
                </c:pt>
                <c:pt idx="7">
                  <c:v>10.1</c:v>
                </c:pt>
                <c:pt idx="8">
                  <c:v>11.6</c:v>
                </c:pt>
                <c:pt idx="9">
                  <c:v>12.6</c:v>
                </c:pt>
                <c:pt idx="10">
                  <c:v>10.9</c:v>
                </c:pt>
                <c:pt idx="11">
                  <c:v>23.1</c:v>
                </c:pt>
                <c:pt idx="12">
                  <c:v>23.1</c:v>
                </c:pt>
                <c:pt idx="13">
                  <c:v>21.6</c:v>
                </c:pt>
                <c:pt idx="14">
                  <c:v>23.1</c:v>
                </c:pt>
                <c:pt idx="15">
                  <c:v>1.9</c:v>
                </c:pt>
                <c:pt idx="16">
                  <c:v>26.8</c:v>
                </c:pt>
                <c:pt idx="17">
                  <c:v>29.9</c:v>
                </c:pt>
              </c:numCache>
            </c:numRef>
          </c:xVal>
          <c:yVal>
            <c:numRef>
              <c:f>문제4!$C$2:$C$19</c:f>
              <c:numCache>
                <c:formatCode>General</c:formatCode>
                <c:ptCount val="18"/>
                <c:pt idx="0">
                  <c:v>64</c:v>
                </c:pt>
                <c:pt idx="1">
                  <c:v>60</c:v>
                </c:pt>
                <c:pt idx="2">
                  <c:v>71</c:v>
                </c:pt>
                <c:pt idx="3">
                  <c:v>61</c:v>
                </c:pt>
                <c:pt idx="4">
                  <c:v>54</c:v>
                </c:pt>
                <c:pt idx="5">
                  <c:v>77</c:v>
                </c:pt>
                <c:pt idx="6">
                  <c:v>81</c:v>
                </c:pt>
                <c:pt idx="7">
                  <c:v>93</c:v>
                </c:pt>
                <c:pt idx="8">
                  <c:v>93</c:v>
                </c:pt>
                <c:pt idx="9">
                  <c:v>51</c:v>
                </c:pt>
                <c:pt idx="10">
                  <c:v>76</c:v>
                </c:pt>
                <c:pt idx="11">
                  <c:v>96</c:v>
                </c:pt>
                <c:pt idx="12">
                  <c:v>77</c:v>
                </c:pt>
                <c:pt idx="13">
                  <c:v>93</c:v>
                </c:pt>
                <c:pt idx="14">
                  <c:v>95</c:v>
                </c:pt>
                <c:pt idx="15">
                  <c:v>54</c:v>
                </c:pt>
                <c:pt idx="16">
                  <c:v>168</c:v>
                </c:pt>
                <c:pt idx="17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70-4263-92D6-17A0B989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33584"/>
        <c:axId val="1149476032"/>
      </c:scatterChart>
      <c:valAx>
        <c:axId val="123683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9476032"/>
        <c:crosses val="autoZero"/>
        <c:crossBetween val="midCat"/>
      </c:valAx>
      <c:valAx>
        <c:axId val="11494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68335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(Y, X2) </a:t>
            </a:r>
            <a:r>
              <a:rPr lang="ko-KR" altLang="en-US"/>
              <a:t>산점도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문제4!$C$1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문제4!$B$2:$B$19</c:f>
              <c:numCache>
                <c:formatCode>General</c:formatCode>
                <c:ptCount val="18"/>
                <c:pt idx="0">
                  <c:v>53</c:v>
                </c:pt>
                <c:pt idx="1">
                  <c:v>23</c:v>
                </c:pt>
                <c:pt idx="2">
                  <c:v>19</c:v>
                </c:pt>
                <c:pt idx="3">
                  <c:v>34</c:v>
                </c:pt>
                <c:pt idx="4">
                  <c:v>24</c:v>
                </c:pt>
                <c:pt idx="5">
                  <c:v>65</c:v>
                </c:pt>
                <c:pt idx="6">
                  <c:v>44</c:v>
                </c:pt>
                <c:pt idx="7">
                  <c:v>31</c:v>
                </c:pt>
                <c:pt idx="8">
                  <c:v>29</c:v>
                </c:pt>
                <c:pt idx="9">
                  <c:v>58</c:v>
                </c:pt>
                <c:pt idx="10">
                  <c:v>37</c:v>
                </c:pt>
                <c:pt idx="11">
                  <c:v>46</c:v>
                </c:pt>
                <c:pt idx="12">
                  <c:v>50</c:v>
                </c:pt>
                <c:pt idx="13">
                  <c:v>44</c:v>
                </c:pt>
                <c:pt idx="14">
                  <c:v>56</c:v>
                </c:pt>
                <c:pt idx="15">
                  <c:v>36</c:v>
                </c:pt>
                <c:pt idx="16">
                  <c:v>58</c:v>
                </c:pt>
                <c:pt idx="17">
                  <c:v>51</c:v>
                </c:pt>
              </c:numCache>
            </c:numRef>
          </c:xVal>
          <c:yVal>
            <c:numRef>
              <c:f>문제4!$C$2:$C$19</c:f>
              <c:numCache>
                <c:formatCode>General</c:formatCode>
                <c:ptCount val="18"/>
                <c:pt idx="0">
                  <c:v>64</c:v>
                </c:pt>
                <c:pt idx="1">
                  <c:v>60</c:v>
                </c:pt>
                <c:pt idx="2">
                  <c:v>71</c:v>
                </c:pt>
                <c:pt idx="3">
                  <c:v>61</c:v>
                </c:pt>
                <c:pt idx="4">
                  <c:v>54</c:v>
                </c:pt>
                <c:pt idx="5">
                  <c:v>77</c:v>
                </c:pt>
                <c:pt idx="6">
                  <c:v>81</c:v>
                </c:pt>
                <c:pt idx="7">
                  <c:v>93</c:v>
                </c:pt>
                <c:pt idx="8">
                  <c:v>93</c:v>
                </c:pt>
                <c:pt idx="9">
                  <c:v>51</c:v>
                </c:pt>
                <c:pt idx="10">
                  <c:v>76</c:v>
                </c:pt>
                <c:pt idx="11">
                  <c:v>96</c:v>
                </c:pt>
                <c:pt idx="12">
                  <c:v>77</c:v>
                </c:pt>
                <c:pt idx="13">
                  <c:v>93</c:v>
                </c:pt>
                <c:pt idx="14">
                  <c:v>95</c:v>
                </c:pt>
                <c:pt idx="15">
                  <c:v>54</c:v>
                </c:pt>
                <c:pt idx="16">
                  <c:v>168</c:v>
                </c:pt>
                <c:pt idx="17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3-4B19-9A6D-C111F1768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43984"/>
        <c:axId val="1073190528"/>
      </c:scatterChart>
      <c:valAx>
        <c:axId val="12368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3190528"/>
        <c:crosses val="autoZero"/>
        <c:crossBetween val="midCat"/>
      </c:valAx>
      <c:valAx>
        <c:axId val="10731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684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ko-KR"/>
              <a:t>수준별 상자그림</a:t>
            </a:r>
            <a:r>
              <a:rPr lang="en-US"/>
              <a:t>(Box Plot)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_TempBoxplot_!$A$76:$B$76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_TempBoxplot_!$A$77:$B$77</c:f>
              <c:numCache>
                <c:formatCode>General</c:formatCode>
                <c:ptCount val="2"/>
                <c:pt idx="0">
                  <c:v>46.8</c:v>
                </c:pt>
                <c:pt idx="1">
                  <c:v>50.25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1-46F9-9B22-81E93AE64915}"/>
            </c:ext>
          </c:extLst>
        </c:ser>
        <c:ser>
          <c:idx val="1"/>
          <c:order val="1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_TempBoxplot_!$A$78:$B$78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_TempBoxplot_!$A$79:$B$79</c:f>
              <c:numCache>
                <c:formatCode>General</c:formatCode>
                <c:ptCount val="2"/>
                <c:pt idx="0">
                  <c:v>56.875</c:v>
                </c:pt>
                <c:pt idx="1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01-46F9-9B22-81E93AE64915}"/>
            </c:ext>
          </c:extLst>
        </c:ser>
        <c:ser>
          <c:idx val="2"/>
          <c:order val="2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_TempBoxplot_!$A$80:$F$80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_TempBoxplot_!$A$81:$F$81</c:f>
              <c:numCache>
                <c:formatCode>General</c:formatCode>
                <c:ptCount val="6"/>
                <c:pt idx="0">
                  <c:v>50.25</c:v>
                </c:pt>
                <c:pt idx="1">
                  <c:v>50.25</c:v>
                </c:pt>
                <c:pt idx="2">
                  <c:v>56.875</c:v>
                </c:pt>
                <c:pt idx="3">
                  <c:v>56.875</c:v>
                </c:pt>
                <c:pt idx="4">
                  <c:v>50.25</c:v>
                </c:pt>
                <c:pt idx="5">
                  <c:v>50.25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01-46F9-9B22-81E93AE64915}"/>
            </c:ext>
          </c:extLst>
        </c:ser>
        <c:ser>
          <c:idx val="3"/>
          <c:order val="3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_TempBoxplot_!$A$82:$B$82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xVal>
          <c:yVal>
            <c:numRef>
              <c:f>_TempBoxplot_!$A$83:$B$83</c:f>
              <c:numCache>
                <c:formatCode>General</c:formatCode>
                <c:ptCount val="2"/>
                <c:pt idx="0">
                  <c:v>53.950000762939453</c:v>
                </c:pt>
                <c:pt idx="1">
                  <c:v>53.950000762939453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01-46F9-9B22-81E93AE64915}"/>
            </c:ext>
          </c:extLst>
        </c:ser>
        <c:ser>
          <c:idx val="4"/>
          <c:order val="4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_TempBoxplot_!$A$84:$B$84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_TempBoxplot_!$A$85:$B$85</c:f>
              <c:numCache>
                <c:formatCode>General</c:formatCode>
                <c:ptCount val="2"/>
                <c:pt idx="0">
                  <c:v>46.8</c:v>
                </c:pt>
                <c:pt idx="1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01-46F9-9B22-81E93AE64915}"/>
            </c:ext>
          </c:extLst>
        </c:ser>
        <c:ser>
          <c:idx val="5"/>
          <c:order val="5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_TempBoxplot_!$A$90:$B$90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_TempBoxplot_!$A$91:$B$91</c:f>
              <c:numCache>
                <c:formatCode>General</c:formatCode>
                <c:ptCount val="2"/>
                <c:pt idx="0">
                  <c:v>51.2</c:v>
                </c:pt>
                <c:pt idx="1">
                  <c:v>56.674999237060547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01-46F9-9B22-81E93AE64915}"/>
            </c:ext>
          </c:extLst>
        </c:ser>
        <c:ser>
          <c:idx val="6"/>
          <c:order val="6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_TempBoxplot_!$A$92:$B$92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_TempBoxplot_!$A$93:$B$93</c:f>
              <c:numCache>
                <c:formatCode>General</c:formatCode>
                <c:ptCount val="2"/>
                <c:pt idx="0">
                  <c:v>62.025001525878906</c:v>
                </c:pt>
                <c:pt idx="1">
                  <c:v>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01-46F9-9B22-81E93AE64915}"/>
            </c:ext>
          </c:extLst>
        </c:ser>
        <c:ser>
          <c:idx val="7"/>
          <c:order val="7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_TempBoxplot_!$A$94:$F$94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_TempBoxplot_!$A$95:$F$95</c:f>
              <c:numCache>
                <c:formatCode>General</c:formatCode>
                <c:ptCount val="6"/>
                <c:pt idx="0">
                  <c:v>56.674999237060547</c:v>
                </c:pt>
                <c:pt idx="1">
                  <c:v>56.674999237060547</c:v>
                </c:pt>
                <c:pt idx="2">
                  <c:v>62.025001525878906</c:v>
                </c:pt>
                <c:pt idx="3">
                  <c:v>62.025001525878906</c:v>
                </c:pt>
                <c:pt idx="4">
                  <c:v>56.674999237060547</c:v>
                </c:pt>
                <c:pt idx="5">
                  <c:v>56.674999237060547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01-46F9-9B22-81E93AE64915}"/>
            </c:ext>
          </c:extLst>
        </c:ser>
        <c:ser>
          <c:idx val="8"/>
          <c:order val="8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_TempBoxplot_!$A$96:$B$96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xVal>
          <c:yVal>
            <c:numRef>
              <c:f>_TempBoxplot_!$A$97:$B$97</c:f>
              <c:numCache>
                <c:formatCode>General</c:formatCode>
                <c:ptCount val="2"/>
                <c:pt idx="0">
                  <c:v>60.200000762939453</c:v>
                </c:pt>
                <c:pt idx="1">
                  <c:v>60.200000762939453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01-46F9-9B22-81E93AE64915}"/>
            </c:ext>
          </c:extLst>
        </c:ser>
        <c:ser>
          <c:idx val="9"/>
          <c:order val="9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_TempBoxplot_!$A$98:$B$98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_TempBoxplot_!$A$99:$B$99</c:f>
              <c:numCache>
                <c:formatCode>General</c:formatCode>
                <c:ptCount val="2"/>
                <c:pt idx="0">
                  <c:v>51.2</c:v>
                </c:pt>
                <c:pt idx="1">
                  <c:v>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01-46F9-9B22-81E93AE64915}"/>
            </c:ext>
          </c:extLst>
        </c:ser>
        <c:ser>
          <c:idx val="10"/>
          <c:order val="10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_TempBoxplot_!$A$104:$B$104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_TempBoxplot_!$A$105:$B$105</c:f>
              <c:numCache>
                <c:formatCode>General</c:formatCode>
                <c:ptCount val="2"/>
                <c:pt idx="0">
                  <c:v>45.2</c:v>
                </c:pt>
                <c:pt idx="1">
                  <c:v>47.900001525878906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01-46F9-9B22-81E93AE64915}"/>
            </c:ext>
          </c:extLst>
        </c:ser>
        <c:ser>
          <c:idx val="11"/>
          <c:order val="11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_TempBoxplot_!$A$106:$B$106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_TempBoxplot_!$A$107:$B$107</c:f>
              <c:numCache>
                <c:formatCode>General</c:formatCode>
                <c:ptCount val="2"/>
                <c:pt idx="0">
                  <c:v>49.900001525878906</c:v>
                </c:pt>
                <c:pt idx="1">
                  <c:v>50.2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01-46F9-9B22-81E93AE64915}"/>
            </c:ext>
          </c:extLst>
        </c:ser>
        <c:ser>
          <c:idx val="12"/>
          <c:order val="12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_TempBoxplot_!$A$108:$F$108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</c:numCache>
            </c:numRef>
          </c:xVal>
          <c:yVal>
            <c:numRef>
              <c:f>_TempBoxplot_!$A$109:$F$109</c:f>
              <c:numCache>
                <c:formatCode>General</c:formatCode>
                <c:ptCount val="6"/>
                <c:pt idx="0">
                  <c:v>47.900001525878906</c:v>
                </c:pt>
                <c:pt idx="1">
                  <c:v>47.900001525878906</c:v>
                </c:pt>
                <c:pt idx="2">
                  <c:v>49.900001525878906</c:v>
                </c:pt>
                <c:pt idx="3">
                  <c:v>49.900001525878906</c:v>
                </c:pt>
                <c:pt idx="4">
                  <c:v>47.900001525878906</c:v>
                </c:pt>
                <c:pt idx="5">
                  <c:v>47.900001525878906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01-46F9-9B22-81E93AE64915}"/>
            </c:ext>
          </c:extLst>
        </c:ser>
        <c:ser>
          <c:idx val="13"/>
          <c:order val="13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_TempBoxplot_!$A$110:$B$110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xVal>
          <c:yVal>
            <c:numRef>
              <c:f>_TempBoxplot_!$A$111:$B$111</c:f>
              <c:numCache>
                <c:formatCode>General</c:formatCode>
                <c:ptCount val="2"/>
                <c:pt idx="0">
                  <c:v>49.299999237060547</c:v>
                </c:pt>
                <c:pt idx="1">
                  <c:v>49.299999237060547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01-46F9-9B22-81E93AE64915}"/>
            </c:ext>
          </c:extLst>
        </c:ser>
        <c:ser>
          <c:idx val="14"/>
          <c:order val="14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_TempBoxplot_!$A$112:$B$112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_TempBoxplot_!$A$113:$B$113</c:f>
              <c:numCache>
                <c:formatCode>General</c:formatCode>
                <c:ptCount val="2"/>
                <c:pt idx="0">
                  <c:v>45.2</c:v>
                </c:pt>
                <c:pt idx="1">
                  <c:v>50.2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01-46F9-9B22-81E93AE64915}"/>
            </c:ext>
          </c:extLst>
        </c:ser>
        <c:ser>
          <c:idx val="15"/>
          <c:order val="15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_TempBoxplot_!$A$118:$B$118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_TempBoxplot_!$A$119:$B$119</c:f>
              <c:numCache>
                <c:formatCode>General</c:formatCode>
                <c:ptCount val="2"/>
                <c:pt idx="0">
                  <c:v>35.9</c:v>
                </c:pt>
                <c:pt idx="1">
                  <c:v>39.575000762939453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01-46F9-9B22-81E93AE64915}"/>
            </c:ext>
          </c:extLst>
        </c:ser>
        <c:ser>
          <c:idx val="16"/>
          <c:order val="16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_TempBoxplot_!$A$120:$B$120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_TempBoxplot_!$A$121:$B$121</c:f>
              <c:numCache>
                <c:formatCode>General</c:formatCode>
                <c:ptCount val="2"/>
                <c:pt idx="0">
                  <c:v>42.724998474121094</c:v>
                </c:pt>
                <c:pt idx="1">
                  <c:v>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01-46F9-9B22-81E93AE64915}"/>
            </c:ext>
          </c:extLst>
        </c:ser>
        <c:ser>
          <c:idx val="17"/>
          <c:order val="17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_TempBoxplot_!$A$122:$F$122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_TempBoxplot_!$A$123:$F$123</c:f>
              <c:numCache>
                <c:formatCode>General</c:formatCode>
                <c:ptCount val="6"/>
                <c:pt idx="0">
                  <c:v>39.575000762939453</c:v>
                </c:pt>
                <c:pt idx="1">
                  <c:v>39.575000762939453</c:v>
                </c:pt>
                <c:pt idx="2">
                  <c:v>42.724998474121094</c:v>
                </c:pt>
                <c:pt idx="3">
                  <c:v>42.724998474121094</c:v>
                </c:pt>
                <c:pt idx="4">
                  <c:v>39.575000762939453</c:v>
                </c:pt>
                <c:pt idx="5">
                  <c:v>39.575000762939453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01-46F9-9B22-81E93AE64915}"/>
            </c:ext>
          </c:extLst>
        </c:ser>
        <c:ser>
          <c:idx val="18"/>
          <c:order val="18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_TempBoxplot_!$A$124:$B$124</c:f>
              <c:numCache>
                <c:formatCode>General</c:formatCode>
                <c:ptCount val="2"/>
                <c:pt idx="0">
                  <c:v>10</c:v>
                </c:pt>
                <c:pt idx="1">
                  <c:v>12</c:v>
                </c:pt>
              </c:numCache>
            </c:numRef>
          </c:xVal>
          <c:yVal>
            <c:numRef>
              <c:f>_TempBoxplot_!$A$125:$B$125</c:f>
              <c:numCache>
                <c:formatCode>General</c:formatCode>
                <c:ptCount val="2"/>
                <c:pt idx="0">
                  <c:v>41.299999237060547</c:v>
                </c:pt>
                <c:pt idx="1">
                  <c:v>41.299999237060547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01-46F9-9B22-81E93AE64915}"/>
            </c:ext>
          </c:extLst>
        </c:ser>
        <c:ser>
          <c:idx val="19"/>
          <c:order val="19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_TempBoxplot_!$A$126:$B$126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_TempBoxplot_!$A$127:$B$127</c:f>
              <c:numCache>
                <c:formatCode>General</c:formatCode>
                <c:ptCount val="2"/>
                <c:pt idx="0">
                  <c:v>35.9</c:v>
                </c:pt>
                <c:pt idx="1">
                  <c:v>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01-46F9-9B22-81E93AE64915}"/>
            </c:ext>
          </c:extLst>
        </c:ser>
        <c:ser>
          <c:idx val="20"/>
          <c:order val="20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_TempBoxplot_!$A$132:$B$132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_TempBoxplot_!$A$133:$B$133</c:f>
              <c:numCache>
                <c:formatCode>General</c:formatCode>
                <c:ptCount val="2"/>
                <c:pt idx="0">
                  <c:v>25.8</c:v>
                </c:pt>
                <c:pt idx="1">
                  <c:v>28.350000381469727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01-46F9-9B22-81E93AE64915}"/>
            </c:ext>
          </c:extLst>
        </c:ser>
        <c:ser>
          <c:idx val="21"/>
          <c:order val="21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_TempBoxplot_!$A$134:$B$134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_TempBoxplot_!$A$135:$B$135</c:f>
              <c:numCache>
                <c:formatCode>General</c:formatCode>
                <c:ptCount val="2"/>
                <c:pt idx="0">
                  <c:v>30.75</c:v>
                </c:pt>
                <c:pt idx="1">
                  <c:v>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401-46F9-9B22-81E93AE64915}"/>
            </c:ext>
          </c:extLst>
        </c:ser>
        <c:ser>
          <c:idx val="22"/>
          <c:order val="22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_TempBoxplot_!$A$136:$F$136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</c:numCache>
            </c:numRef>
          </c:xVal>
          <c:yVal>
            <c:numRef>
              <c:f>_TempBoxplot_!$A$137:$F$137</c:f>
              <c:numCache>
                <c:formatCode>General</c:formatCode>
                <c:ptCount val="6"/>
                <c:pt idx="0">
                  <c:v>28.350000381469727</c:v>
                </c:pt>
                <c:pt idx="1">
                  <c:v>28.350000381469727</c:v>
                </c:pt>
                <c:pt idx="2">
                  <c:v>30.75</c:v>
                </c:pt>
                <c:pt idx="3">
                  <c:v>30.75</c:v>
                </c:pt>
                <c:pt idx="4">
                  <c:v>28.350000381469727</c:v>
                </c:pt>
                <c:pt idx="5">
                  <c:v>28.350000381469727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401-46F9-9B22-81E93AE64915}"/>
            </c:ext>
          </c:extLst>
        </c:ser>
        <c:ser>
          <c:idx val="23"/>
          <c:order val="23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_TempBoxplot_!$A$138:$B$138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xVal>
          <c:yVal>
            <c:numRef>
              <c:f>_TempBoxplot_!$A$139:$B$139</c:f>
              <c:numCache>
                <c:formatCode>General</c:formatCode>
                <c:ptCount val="2"/>
                <c:pt idx="0">
                  <c:v>29.700000762939453</c:v>
                </c:pt>
                <c:pt idx="1">
                  <c:v>29.700000762939453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401-46F9-9B22-81E93AE64915}"/>
            </c:ext>
          </c:extLst>
        </c:ser>
        <c:ser>
          <c:idx val="24"/>
          <c:order val="24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_TempBoxplot_!$A$140:$B$140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_TempBoxplot_!$A$141:$B$141</c:f>
              <c:numCache>
                <c:formatCode>General</c:formatCode>
                <c:ptCount val="2"/>
                <c:pt idx="0">
                  <c:v>25.8</c:v>
                </c:pt>
                <c:pt idx="1">
                  <c:v>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401-46F9-9B22-81E93AE64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150464"/>
        <c:axId val="1224240080"/>
      </c:scatterChart>
      <c:valAx>
        <c:axId val="1150150464"/>
        <c:scaling>
          <c:orientation val="minMax"/>
          <c:max val="16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224240080"/>
        <c:crosses val="autoZero"/>
        <c:crossBetween val="midCat"/>
      </c:valAx>
      <c:valAx>
        <c:axId val="1224240080"/>
        <c:scaling>
          <c:orientation val="minMax"/>
          <c:max val="66.06000167846679"/>
          <c:min val="22.13999984741211"/>
        </c:scaling>
        <c:delete val="0"/>
        <c:axPos val="l"/>
        <c:numFmt formatCode="0.00" sourceLinked="0"/>
        <c:majorTickMark val="out"/>
        <c:minorTickMark val="none"/>
        <c:tickLblPos val="nextTo"/>
        <c:crossAx val="1150150464"/>
        <c:crosses val="autoZero"/>
        <c:crossBetween val="midCat"/>
      </c:valAx>
      <c:spPr>
        <a:solidFill>
          <a:srgbClr val="FFFFFF"/>
        </a:solidFill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ko-KR"/>
              <a:t>수준별 상자그림</a:t>
            </a:r>
            <a:r>
              <a:rPr lang="en-US"/>
              <a:t>(Box Plot)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_TempBoxplot_!$A$146:$B$146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_TempBoxplot_!$A$147:$B$147</c:f>
              <c:numCache>
                <c:formatCode>General</c:formatCode>
                <c:ptCount val="2"/>
                <c:pt idx="0">
                  <c:v>46.8</c:v>
                </c:pt>
                <c:pt idx="1">
                  <c:v>50.25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C-4383-8C49-BA516FD6CCFE}"/>
            </c:ext>
          </c:extLst>
        </c:ser>
        <c:ser>
          <c:idx val="1"/>
          <c:order val="1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_TempBoxplot_!$A$148:$B$148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_TempBoxplot_!$A$149:$B$149</c:f>
              <c:numCache>
                <c:formatCode>General</c:formatCode>
                <c:ptCount val="2"/>
                <c:pt idx="0">
                  <c:v>56.875</c:v>
                </c:pt>
                <c:pt idx="1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4C-4383-8C49-BA516FD6CCFE}"/>
            </c:ext>
          </c:extLst>
        </c:ser>
        <c:ser>
          <c:idx val="2"/>
          <c:order val="2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_TempBoxplot_!$A$150:$F$150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_TempBoxplot_!$A$151:$F$151</c:f>
              <c:numCache>
                <c:formatCode>General</c:formatCode>
                <c:ptCount val="6"/>
                <c:pt idx="0">
                  <c:v>50.25</c:v>
                </c:pt>
                <c:pt idx="1">
                  <c:v>50.25</c:v>
                </c:pt>
                <c:pt idx="2">
                  <c:v>56.875</c:v>
                </c:pt>
                <c:pt idx="3">
                  <c:v>56.875</c:v>
                </c:pt>
                <c:pt idx="4">
                  <c:v>50.25</c:v>
                </c:pt>
                <c:pt idx="5">
                  <c:v>50.25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4C-4383-8C49-BA516FD6CCFE}"/>
            </c:ext>
          </c:extLst>
        </c:ser>
        <c:ser>
          <c:idx val="3"/>
          <c:order val="3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_TempBoxplot_!$A$152:$B$152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xVal>
          <c:yVal>
            <c:numRef>
              <c:f>_TempBoxplot_!$A$153:$B$153</c:f>
              <c:numCache>
                <c:formatCode>General</c:formatCode>
                <c:ptCount val="2"/>
                <c:pt idx="0">
                  <c:v>53.950000762939453</c:v>
                </c:pt>
                <c:pt idx="1">
                  <c:v>53.950000762939453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4C-4383-8C49-BA516FD6CCFE}"/>
            </c:ext>
          </c:extLst>
        </c:ser>
        <c:ser>
          <c:idx val="4"/>
          <c:order val="4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_TempBoxplot_!$A$154:$B$154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_TempBoxplot_!$A$155:$B$155</c:f>
              <c:numCache>
                <c:formatCode>General</c:formatCode>
                <c:ptCount val="2"/>
                <c:pt idx="0">
                  <c:v>46.8</c:v>
                </c:pt>
                <c:pt idx="1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4C-4383-8C49-BA516FD6CCFE}"/>
            </c:ext>
          </c:extLst>
        </c:ser>
        <c:ser>
          <c:idx val="5"/>
          <c:order val="5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_TempBoxplot_!$A$160:$B$160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_TempBoxplot_!$A$161:$B$161</c:f>
              <c:numCache>
                <c:formatCode>General</c:formatCode>
                <c:ptCount val="2"/>
                <c:pt idx="0">
                  <c:v>51.2</c:v>
                </c:pt>
                <c:pt idx="1">
                  <c:v>56.674999237060547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4C-4383-8C49-BA516FD6CCFE}"/>
            </c:ext>
          </c:extLst>
        </c:ser>
        <c:ser>
          <c:idx val="6"/>
          <c:order val="6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_TempBoxplot_!$A$162:$B$162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_TempBoxplot_!$A$163:$B$163</c:f>
              <c:numCache>
                <c:formatCode>General</c:formatCode>
                <c:ptCount val="2"/>
                <c:pt idx="0">
                  <c:v>62.025001525878906</c:v>
                </c:pt>
                <c:pt idx="1">
                  <c:v>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4C-4383-8C49-BA516FD6CCFE}"/>
            </c:ext>
          </c:extLst>
        </c:ser>
        <c:ser>
          <c:idx val="7"/>
          <c:order val="7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_TempBoxplot_!$A$164:$F$164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_TempBoxplot_!$A$165:$F$165</c:f>
              <c:numCache>
                <c:formatCode>General</c:formatCode>
                <c:ptCount val="6"/>
                <c:pt idx="0">
                  <c:v>56.674999237060547</c:v>
                </c:pt>
                <c:pt idx="1">
                  <c:v>56.674999237060547</c:v>
                </c:pt>
                <c:pt idx="2">
                  <c:v>62.025001525878906</c:v>
                </c:pt>
                <c:pt idx="3">
                  <c:v>62.025001525878906</c:v>
                </c:pt>
                <c:pt idx="4">
                  <c:v>56.674999237060547</c:v>
                </c:pt>
                <c:pt idx="5">
                  <c:v>56.674999237060547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4C-4383-8C49-BA516FD6CCFE}"/>
            </c:ext>
          </c:extLst>
        </c:ser>
        <c:ser>
          <c:idx val="8"/>
          <c:order val="8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_TempBoxplot_!$A$166:$B$166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xVal>
          <c:yVal>
            <c:numRef>
              <c:f>_TempBoxplot_!$A$167:$B$167</c:f>
              <c:numCache>
                <c:formatCode>General</c:formatCode>
                <c:ptCount val="2"/>
                <c:pt idx="0">
                  <c:v>60.200000762939453</c:v>
                </c:pt>
                <c:pt idx="1">
                  <c:v>60.200000762939453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4C-4383-8C49-BA516FD6CCFE}"/>
            </c:ext>
          </c:extLst>
        </c:ser>
        <c:ser>
          <c:idx val="9"/>
          <c:order val="9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_TempBoxplot_!$A$168:$B$168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_TempBoxplot_!$A$169:$B$169</c:f>
              <c:numCache>
                <c:formatCode>General</c:formatCode>
                <c:ptCount val="2"/>
                <c:pt idx="0">
                  <c:v>51.2</c:v>
                </c:pt>
                <c:pt idx="1">
                  <c:v>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4C-4383-8C49-BA516FD6CCFE}"/>
            </c:ext>
          </c:extLst>
        </c:ser>
        <c:ser>
          <c:idx val="10"/>
          <c:order val="10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_TempBoxplot_!$A$174:$B$174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_TempBoxplot_!$A$175:$B$175</c:f>
              <c:numCache>
                <c:formatCode>General</c:formatCode>
                <c:ptCount val="2"/>
                <c:pt idx="0">
                  <c:v>45.2</c:v>
                </c:pt>
                <c:pt idx="1">
                  <c:v>47.900001525878906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4C-4383-8C49-BA516FD6CCFE}"/>
            </c:ext>
          </c:extLst>
        </c:ser>
        <c:ser>
          <c:idx val="11"/>
          <c:order val="11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_TempBoxplot_!$A$176:$B$176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_TempBoxplot_!$A$177:$B$177</c:f>
              <c:numCache>
                <c:formatCode>General</c:formatCode>
                <c:ptCount val="2"/>
                <c:pt idx="0">
                  <c:v>49.900001525878906</c:v>
                </c:pt>
                <c:pt idx="1">
                  <c:v>50.2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4C-4383-8C49-BA516FD6CCFE}"/>
            </c:ext>
          </c:extLst>
        </c:ser>
        <c:ser>
          <c:idx val="12"/>
          <c:order val="12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_TempBoxplot_!$A$178:$F$178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</c:numCache>
            </c:numRef>
          </c:xVal>
          <c:yVal>
            <c:numRef>
              <c:f>_TempBoxplot_!$A$179:$F$179</c:f>
              <c:numCache>
                <c:formatCode>General</c:formatCode>
                <c:ptCount val="6"/>
                <c:pt idx="0">
                  <c:v>47.900001525878906</c:v>
                </c:pt>
                <c:pt idx="1">
                  <c:v>47.900001525878906</c:v>
                </c:pt>
                <c:pt idx="2">
                  <c:v>49.900001525878906</c:v>
                </c:pt>
                <c:pt idx="3">
                  <c:v>49.900001525878906</c:v>
                </c:pt>
                <c:pt idx="4">
                  <c:v>47.900001525878906</c:v>
                </c:pt>
                <c:pt idx="5">
                  <c:v>47.900001525878906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4C-4383-8C49-BA516FD6CCFE}"/>
            </c:ext>
          </c:extLst>
        </c:ser>
        <c:ser>
          <c:idx val="13"/>
          <c:order val="13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_TempBoxplot_!$A$180:$B$180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xVal>
          <c:yVal>
            <c:numRef>
              <c:f>_TempBoxplot_!$A$181:$B$181</c:f>
              <c:numCache>
                <c:formatCode>General</c:formatCode>
                <c:ptCount val="2"/>
                <c:pt idx="0">
                  <c:v>49.299999237060547</c:v>
                </c:pt>
                <c:pt idx="1">
                  <c:v>49.299999237060547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4C-4383-8C49-BA516FD6CCFE}"/>
            </c:ext>
          </c:extLst>
        </c:ser>
        <c:ser>
          <c:idx val="14"/>
          <c:order val="14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_TempBoxplot_!$A$182:$B$182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_TempBoxplot_!$A$183:$B$183</c:f>
              <c:numCache>
                <c:formatCode>General</c:formatCode>
                <c:ptCount val="2"/>
                <c:pt idx="0">
                  <c:v>45.2</c:v>
                </c:pt>
                <c:pt idx="1">
                  <c:v>50.2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4C-4383-8C49-BA516FD6CCFE}"/>
            </c:ext>
          </c:extLst>
        </c:ser>
        <c:ser>
          <c:idx val="15"/>
          <c:order val="15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_TempBoxplot_!$A$188:$B$188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_TempBoxplot_!$A$189:$B$189</c:f>
              <c:numCache>
                <c:formatCode>General</c:formatCode>
                <c:ptCount val="2"/>
                <c:pt idx="0">
                  <c:v>35.9</c:v>
                </c:pt>
                <c:pt idx="1">
                  <c:v>39.575000762939453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4C-4383-8C49-BA516FD6CCFE}"/>
            </c:ext>
          </c:extLst>
        </c:ser>
        <c:ser>
          <c:idx val="16"/>
          <c:order val="16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_TempBoxplot_!$A$190:$B$190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_TempBoxplot_!$A$191:$B$191</c:f>
              <c:numCache>
                <c:formatCode>General</c:formatCode>
                <c:ptCount val="2"/>
                <c:pt idx="0">
                  <c:v>42.724998474121094</c:v>
                </c:pt>
                <c:pt idx="1">
                  <c:v>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4C-4383-8C49-BA516FD6CCFE}"/>
            </c:ext>
          </c:extLst>
        </c:ser>
        <c:ser>
          <c:idx val="17"/>
          <c:order val="17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_TempBoxplot_!$A$192:$F$192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_TempBoxplot_!$A$193:$F$193</c:f>
              <c:numCache>
                <c:formatCode>General</c:formatCode>
                <c:ptCount val="6"/>
                <c:pt idx="0">
                  <c:v>39.575000762939453</c:v>
                </c:pt>
                <c:pt idx="1">
                  <c:v>39.575000762939453</c:v>
                </c:pt>
                <c:pt idx="2">
                  <c:v>42.724998474121094</c:v>
                </c:pt>
                <c:pt idx="3">
                  <c:v>42.724998474121094</c:v>
                </c:pt>
                <c:pt idx="4">
                  <c:v>39.575000762939453</c:v>
                </c:pt>
                <c:pt idx="5">
                  <c:v>39.575000762939453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4C-4383-8C49-BA516FD6CCFE}"/>
            </c:ext>
          </c:extLst>
        </c:ser>
        <c:ser>
          <c:idx val="18"/>
          <c:order val="18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_TempBoxplot_!$A$194:$B$194</c:f>
              <c:numCache>
                <c:formatCode>General</c:formatCode>
                <c:ptCount val="2"/>
                <c:pt idx="0">
                  <c:v>10</c:v>
                </c:pt>
                <c:pt idx="1">
                  <c:v>12</c:v>
                </c:pt>
              </c:numCache>
            </c:numRef>
          </c:xVal>
          <c:yVal>
            <c:numRef>
              <c:f>_TempBoxplot_!$A$195:$B$195</c:f>
              <c:numCache>
                <c:formatCode>General</c:formatCode>
                <c:ptCount val="2"/>
                <c:pt idx="0">
                  <c:v>41.299999237060547</c:v>
                </c:pt>
                <c:pt idx="1">
                  <c:v>41.299999237060547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4C-4383-8C49-BA516FD6CCFE}"/>
            </c:ext>
          </c:extLst>
        </c:ser>
        <c:ser>
          <c:idx val="19"/>
          <c:order val="19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_TempBoxplot_!$A$196:$B$196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_TempBoxplot_!$A$197:$B$197</c:f>
              <c:numCache>
                <c:formatCode>General</c:formatCode>
                <c:ptCount val="2"/>
                <c:pt idx="0">
                  <c:v>35.9</c:v>
                </c:pt>
                <c:pt idx="1">
                  <c:v>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4C-4383-8C49-BA516FD6CCFE}"/>
            </c:ext>
          </c:extLst>
        </c:ser>
        <c:ser>
          <c:idx val="20"/>
          <c:order val="20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_TempBoxplot_!$A$202:$B$202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_TempBoxplot_!$A$203:$B$203</c:f>
              <c:numCache>
                <c:formatCode>General</c:formatCode>
                <c:ptCount val="2"/>
                <c:pt idx="0">
                  <c:v>25.8</c:v>
                </c:pt>
                <c:pt idx="1">
                  <c:v>28.350000381469727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4C-4383-8C49-BA516FD6CCFE}"/>
            </c:ext>
          </c:extLst>
        </c:ser>
        <c:ser>
          <c:idx val="21"/>
          <c:order val="21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_TempBoxplot_!$A$204:$B$204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_TempBoxplot_!$A$205:$B$205</c:f>
              <c:numCache>
                <c:formatCode>General</c:formatCode>
                <c:ptCount val="2"/>
                <c:pt idx="0">
                  <c:v>30.75</c:v>
                </c:pt>
                <c:pt idx="1">
                  <c:v>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4C-4383-8C49-BA516FD6CCFE}"/>
            </c:ext>
          </c:extLst>
        </c:ser>
        <c:ser>
          <c:idx val="22"/>
          <c:order val="22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_TempBoxplot_!$A$206:$F$206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</c:numCache>
            </c:numRef>
          </c:xVal>
          <c:yVal>
            <c:numRef>
              <c:f>_TempBoxplot_!$A$207:$F$207</c:f>
              <c:numCache>
                <c:formatCode>General</c:formatCode>
                <c:ptCount val="6"/>
                <c:pt idx="0">
                  <c:v>28.350000381469727</c:v>
                </c:pt>
                <c:pt idx="1">
                  <c:v>28.350000381469727</c:v>
                </c:pt>
                <c:pt idx="2">
                  <c:v>30.75</c:v>
                </c:pt>
                <c:pt idx="3">
                  <c:v>30.75</c:v>
                </c:pt>
                <c:pt idx="4">
                  <c:v>28.350000381469727</c:v>
                </c:pt>
                <c:pt idx="5">
                  <c:v>28.350000381469727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4C-4383-8C49-BA516FD6CCFE}"/>
            </c:ext>
          </c:extLst>
        </c:ser>
        <c:ser>
          <c:idx val="23"/>
          <c:order val="23"/>
          <c:spPr>
            <a:ln w="12700">
              <a:solidFill>
                <a:srgbClr val="333399"/>
              </a:solidFill>
              <a:prstDash val="solid"/>
            </a:ln>
          </c:spPr>
          <c:marker>
            <c:symbol val="none"/>
          </c:marker>
          <c:xVal>
            <c:numRef>
              <c:f>_TempBoxplot_!$A$208:$B$208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xVal>
          <c:yVal>
            <c:numRef>
              <c:f>_TempBoxplot_!$A$209:$B$209</c:f>
              <c:numCache>
                <c:formatCode>General</c:formatCode>
                <c:ptCount val="2"/>
                <c:pt idx="0">
                  <c:v>29.700000762939453</c:v>
                </c:pt>
                <c:pt idx="1">
                  <c:v>29.700000762939453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4C-4383-8C49-BA516FD6CCFE}"/>
            </c:ext>
          </c:extLst>
        </c:ser>
        <c:ser>
          <c:idx val="24"/>
          <c:order val="24"/>
          <c:tx>
            <c:v>인접값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_TempBoxplot_!$A$210:$B$210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xVal>
          <c:yVal>
            <c:numRef>
              <c:f>_TempBoxplot_!$A$211:$B$211</c:f>
              <c:numCache>
                <c:formatCode>General</c:formatCode>
                <c:ptCount val="2"/>
                <c:pt idx="0">
                  <c:v>25.8</c:v>
                </c:pt>
                <c:pt idx="1">
                  <c:v>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4C-4383-8C49-BA516FD6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185264"/>
        <c:axId val="1224249648"/>
      </c:scatterChart>
      <c:valAx>
        <c:axId val="1150185264"/>
        <c:scaling>
          <c:orientation val="minMax"/>
          <c:max val="16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224249648"/>
        <c:crosses val="autoZero"/>
        <c:crossBetween val="midCat"/>
      </c:valAx>
      <c:valAx>
        <c:axId val="1224249648"/>
        <c:scaling>
          <c:orientation val="minMax"/>
          <c:max val="66.06000167846679"/>
          <c:min val="22.13999984741211"/>
        </c:scaling>
        <c:delete val="0"/>
        <c:axPos val="l"/>
        <c:numFmt formatCode="0.00" sourceLinked="0"/>
        <c:majorTickMark val="out"/>
        <c:minorTickMark val="none"/>
        <c:tickLblPos val="nextTo"/>
        <c:crossAx val="1150185264"/>
        <c:crosses val="autoZero"/>
        <c:crossBetween val="midCat"/>
      </c:valAx>
      <c:spPr>
        <a:solidFill>
          <a:srgbClr val="FFFFFF"/>
        </a:solidFill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552449</xdr:colOff>
      <xdr:row>2</xdr:row>
      <xdr:rowOff>57149</xdr:rowOff>
    </xdr:from>
    <xdr:to>
      <xdr:col>11</xdr:col>
      <xdr:colOff>428624</xdr:colOff>
      <xdr:row>17</xdr:row>
      <xdr:rowOff>142874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8C88D02-EAA2-43AC-B715-4C40E275F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542925</xdr:colOff>
      <xdr:row>20</xdr:row>
      <xdr:rowOff>38099</xdr:rowOff>
    </xdr:from>
    <xdr:to>
      <xdr:col>11</xdr:col>
      <xdr:colOff>428625</xdr:colOff>
      <xdr:row>35</xdr:row>
      <xdr:rowOff>104774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BBC1191-03D8-4FA6-A43E-2662A3017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457200</xdr:colOff>
      <xdr:row>38</xdr:row>
      <xdr:rowOff>38100</xdr:rowOff>
    </xdr:from>
    <xdr:to>
      <xdr:col>12</xdr:col>
      <xdr:colOff>476250</xdr:colOff>
      <xdr:row>54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A1A80B0-E640-4280-9647-95852B158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38101</xdr:colOff>
      <xdr:row>1</xdr:row>
      <xdr:rowOff>19050</xdr:rowOff>
    </xdr:from>
    <xdr:to>
      <xdr:col>8</xdr:col>
      <xdr:colOff>174901</xdr:colOff>
      <xdr:row>14</xdr:row>
      <xdr:rowOff>174900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A33629A-A19F-4D03-A6D8-1EB9995CC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</xdr:row>
      <xdr:rowOff>9525</xdr:rowOff>
    </xdr:from>
    <xdr:to>
      <xdr:col>14</xdr:col>
      <xdr:colOff>174900</xdr:colOff>
      <xdr:row>14</xdr:row>
      <xdr:rowOff>165375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6D22BE2-3697-49A6-81C1-ECEDBE10F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53975</xdr:rowOff>
    </xdr:from>
    <xdr:to>
      <xdr:col>4</xdr:col>
      <xdr:colOff>479425</xdr:colOff>
      <xdr:row>3</xdr:row>
      <xdr:rowOff>85725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3C6231-82A1-47AB-8DEE-E9D5B48F0AA7}"/>
            </a:ext>
          </a:extLst>
        </xdr:cNvPr>
        <xdr:cNvSpPr/>
      </xdr:nvSpPr>
      <xdr:spPr>
        <a:xfrm>
          <a:off x="47625" y="53975"/>
          <a:ext cx="31750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mpd="sng">
          <a:prstDash val="solid"/>
        </a:ln>
        <a:effectLst>
          <a:prstShdw prst="shdw1" dist="107763" dir="135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>
              <a:solidFill>
                <a:srgbClr xmlns:mc="http://schemas.openxmlformats.org/markup-compatibility/2006" xmlns:a14="http://schemas.microsoft.com/office/drawing/2010/main" val="3366FF" mc:Ignorable="a14" a14:legacySpreadsheetColorIndex="48"/>
              </a:solidFill>
            </a:rPr>
            <a:t>일원배치 분산분석 결과</a:t>
          </a:r>
        </a:p>
      </xdr:txBody>
    </xdr:sp>
    <xdr:clientData/>
  </xdr:twoCellAnchor>
  <xdr:twoCellAnchor>
    <xdr:from>
      <xdr:col>1</xdr:col>
      <xdr:colOff>85725</xdr:colOff>
      <xdr:row>4</xdr:row>
      <xdr:rowOff>0</xdr:rowOff>
    </xdr:from>
    <xdr:to>
      <xdr:col>2</xdr:col>
      <xdr:colOff>415925</xdr:colOff>
      <xdr:row>5</xdr:row>
      <xdr:rowOff>136525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6AF443-7820-420C-B18C-680F12DB8728}"/>
            </a:ext>
          </a:extLst>
        </xdr:cNvPr>
        <xdr:cNvSpPr/>
      </xdr:nvSpPr>
      <xdr:spPr>
        <a:xfrm>
          <a:off x="771525" y="428625"/>
          <a:ext cx="10160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rgbClr val="000000"/>
              </a:solidFill>
            </a:rPr>
            <a:t>기술 통계량</a:t>
          </a:r>
        </a:p>
      </xdr:txBody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415925</xdr:colOff>
      <xdr:row>15</xdr:row>
      <xdr:rowOff>111125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39FB73C-ACC5-437E-B5F4-AFD2BFEF8C91}"/>
            </a:ext>
          </a:extLst>
        </xdr:cNvPr>
        <xdr:cNvSpPr/>
      </xdr:nvSpPr>
      <xdr:spPr>
        <a:xfrm>
          <a:off x="771525" y="1876425"/>
          <a:ext cx="10160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0" i="0">
              <a:solidFill>
                <a:srgbClr val="000000"/>
              </a:solidFill>
              <a:latin typeface="굴림" panose="020B0600000101010101" pitchFamily="50" charset="-127"/>
            </a:rPr>
            <a:t>등분산 검정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2</xdr:col>
      <xdr:colOff>415925</xdr:colOff>
      <xdr:row>25</xdr:row>
      <xdr:rowOff>136525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571033C-BA59-41AD-8CD3-31E7E8A8678E}"/>
            </a:ext>
          </a:extLst>
        </xdr:cNvPr>
        <xdr:cNvSpPr/>
      </xdr:nvSpPr>
      <xdr:spPr>
        <a:xfrm>
          <a:off x="771525" y="3324225"/>
          <a:ext cx="10160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0" i="0">
              <a:solidFill>
                <a:srgbClr val="000000"/>
              </a:solidFill>
              <a:latin typeface="굴림" panose="020B0600000101010101" pitchFamily="50" charset="-127"/>
            </a:rPr>
            <a:t>분산분석표</a:t>
          </a: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4</xdr:col>
      <xdr:colOff>482600</xdr:colOff>
      <xdr:row>51</xdr:row>
      <xdr:rowOff>111125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FE2ACD4-43A9-42B1-BD4A-64B122C40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55</xdr:row>
      <xdr:rowOff>53975</xdr:rowOff>
    </xdr:from>
    <xdr:to>
      <xdr:col>4</xdr:col>
      <xdr:colOff>479425</xdr:colOff>
      <xdr:row>57</xdr:row>
      <xdr:rowOff>85725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7E1DCB0E-10F9-4E3C-BB0A-FE788A52728D}"/>
            </a:ext>
          </a:extLst>
        </xdr:cNvPr>
        <xdr:cNvSpPr/>
      </xdr:nvSpPr>
      <xdr:spPr>
        <a:xfrm>
          <a:off x="47625" y="7835900"/>
          <a:ext cx="31750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mpd="sng">
          <a:prstDash val="solid"/>
        </a:ln>
        <a:effectLst>
          <a:prstShdw prst="shdw1" dist="107763" dir="135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>
              <a:solidFill>
                <a:srgbClr xmlns:mc="http://schemas.openxmlformats.org/markup-compatibility/2006" xmlns:a14="http://schemas.microsoft.com/office/drawing/2010/main" val="3366FF" mc:Ignorable="a14" a14:legacySpreadsheetColorIndex="48"/>
              </a:solidFill>
            </a:rPr>
            <a:t>일원배치 분산분석 결과</a:t>
          </a:r>
        </a:p>
      </xdr:txBody>
    </xdr:sp>
    <xdr:clientData/>
  </xdr:twoCellAnchor>
  <xdr:twoCellAnchor>
    <xdr:from>
      <xdr:col>1</xdr:col>
      <xdr:colOff>85725</xdr:colOff>
      <xdr:row>58</xdr:row>
      <xdr:rowOff>0</xdr:rowOff>
    </xdr:from>
    <xdr:to>
      <xdr:col>2</xdr:col>
      <xdr:colOff>415925</xdr:colOff>
      <xdr:row>59</xdr:row>
      <xdr:rowOff>136525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F1FAB94-0FBD-44C9-AAE7-2717A0B8B49B}"/>
            </a:ext>
          </a:extLst>
        </xdr:cNvPr>
        <xdr:cNvSpPr/>
      </xdr:nvSpPr>
      <xdr:spPr>
        <a:xfrm>
          <a:off x="771525" y="8210550"/>
          <a:ext cx="10160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rgbClr val="000000"/>
              </a:solidFill>
            </a:rPr>
            <a:t>기술 통계량</a:t>
          </a:r>
        </a:p>
      </xdr:txBody>
    </xdr:sp>
    <xdr:clientData/>
  </xdr:twoCellAnchor>
  <xdr:twoCellAnchor>
    <xdr:from>
      <xdr:col>1</xdr:col>
      <xdr:colOff>85725</xdr:colOff>
      <xdr:row>68</xdr:row>
      <xdr:rowOff>0</xdr:rowOff>
    </xdr:from>
    <xdr:to>
      <xdr:col>2</xdr:col>
      <xdr:colOff>415925</xdr:colOff>
      <xdr:row>69</xdr:row>
      <xdr:rowOff>111125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E73D8AB-AF0A-4912-9436-653B40859152}"/>
            </a:ext>
          </a:extLst>
        </xdr:cNvPr>
        <xdr:cNvSpPr/>
      </xdr:nvSpPr>
      <xdr:spPr>
        <a:xfrm>
          <a:off x="771525" y="9658350"/>
          <a:ext cx="10160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0" i="0">
              <a:solidFill>
                <a:srgbClr val="000000"/>
              </a:solidFill>
              <a:latin typeface="굴림" panose="020B0600000101010101" pitchFamily="50" charset="-127"/>
            </a:rPr>
            <a:t>등분산 검정</a:t>
          </a:r>
        </a:p>
      </xdr:txBody>
    </xdr:sp>
    <xdr:clientData/>
  </xdr:twoCellAnchor>
  <xdr:twoCellAnchor>
    <xdr:from>
      <xdr:col>1</xdr:col>
      <xdr:colOff>85725</xdr:colOff>
      <xdr:row>78</xdr:row>
      <xdr:rowOff>0</xdr:rowOff>
    </xdr:from>
    <xdr:to>
      <xdr:col>2</xdr:col>
      <xdr:colOff>415925</xdr:colOff>
      <xdr:row>79</xdr:row>
      <xdr:rowOff>136525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FC05B36-C6D4-4F80-B906-6F494F8EF768}"/>
            </a:ext>
          </a:extLst>
        </xdr:cNvPr>
        <xdr:cNvSpPr/>
      </xdr:nvSpPr>
      <xdr:spPr>
        <a:xfrm>
          <a:off x="771525" y="11106150"/>
          <a:ext cx="10160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0" i="0">
              <a:solidFill>
                <a:srgbClr val="000000"/>
              </a:solidFill>
              <a:latin typeface="굴림" panose="020B0600000101010101" pitchFamily="50" charset="-127"/>
            </a:rPr>
            <a:t>분산분석표</a:t>
          </a:r>
        </a:p>
      </xdr:txBody>
    </xdr:sp>
    <xdr:clientData/>
  </xdr:twoCellAnchor>
  <xdr:twoCellAnchor>
    <xdr:from>
      <xdr:col>1</xdr:col>
      <xdr:colOff>85725</xdr:colOff>
      <xdr:row>88</xdr:row>
      <xdr:rowOff>0</xdr:rowOff>
    </xdr:from>
    <xdr:to>
      <xdr:col>2</xdr:col>
      <xdr:colOff>542925</xdr:colOff>
      <xdr:row>89</xdr:row>
      <xdr:rowOff>111125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0025087-9F95-4E10-BF64-D39DCDB6D289}"/>
            </a:ext>
          </a:extLst>
        </xdr:cNvPr>
        <xdr:cNvSpPr/>
      </xdr:nvSpPr>
      <xdr:spPr>
        <a:xfrm>
          <a:off x="771525" y="12563475"/>
          <a:ext cx="11430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crgbClr r="0" g="0" b="0">
              <a:alpha val="50000"/>
            </a:scrgbClr>
          </a:prst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0" i="0">
              <a:solidFill>
                <a:srgbClr val="000000"/>
              </a:solidFill>
              <a:latin typeface="굴림" panose="020B0600000101010101" pitchFamily="50" charset="-127"/>
            </a:rPr>
            <a:t>다중비교 결과</a:t>
          </a:r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4</xdr:col>
      <xdr:colOff>482600</xdr:colOff>
      <xdr:row>118</xdr:row>
      <xdr:rowOff>111125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4D77D786-1DBA-4BBD-B013-A38830FF6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AB08-63A1-4B56-B475-155A3CF80A0B}">
  <dimension ref="A1:C79"/>
  <sheetViews>
    <sheetView workbookViewId="0">
      <selection activeCell="C35" sqref="C35"/>
    </sheetView>
  </sheetViews>
  <sheetFormatPr defaultRowHeight="16.5" x14ac:dyDescent="0.3"/>
  <cols>
    <col min="1" max="1" width="16" customWidth="1"/>
    <col min="3" max="3" width="13.12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>
        <f>1-_xlfn.BINOM.DIST(9, 15, 0.7, TRUE)</f>
        <v>0.72162144020436392</v>
      </c>
      <c r="B3">
        <v>0</v>
      </c>
      <c r="C3">
        <f>_xlfn.BINOM.DIST(B3, 15, 0.7, FALSE)</f>
        <v>1.434890700000002E-8</v>
      </c>
    </row>
    <row r="4" spans="1:3" x14ac:dyDescent="0.3">
      <c r="A4">
        <f>_xlfn.BINOM.DIST(6, 15, 0.7, TRUE) - _xlfn.BINOM.DIST(1, 15, 0.7, TRUE)</f>
        <v>1.5242009209119011E-2</v>
      </c>
      <c r="B4">
        <v>1</v>
      </c>
      <c r="C4">
        <f>_xlfn.BINOM.DIST(B4, 15, 0.7, FALSE)</f>
        <v>5.0221174500000008E-7</v>
      </c>
    </row>
    <row r="5" spans="1:3" x14ac:dyDescent="0.3">
      <c r="B5">
        <v>2</v>
      </c>
      <c r="C5">
        <f>_xlfn.BINOM.DIST(B5, 15, 0.7, FALSE)</f>
        <v>8.2027918350000286E-6</v>
      </c>
    </row>
    <row r="6" spans="1:3" x14ac:dyDescent="0.3">
      <c r="B6">
        <v>3</v>
      </c>
      <c r="C6">
        <f>_xlfn.BINOM.DIST(B6, 15, 0.7, FALSE)</f>
        <v>8.2939339665000255E-5</v>
      </c>
    </row>
    <row r="7" spans="1:3" x14ac:dyDescent="0.3">
      <c r="B7">
        <v>4</v>
      </c>
      <c r="C7">
        <f>_xlfn.BINOM.DIST(B7, 15, 0.7, FALSE)</f>
        <v>5.8057537765500173E-4</v>
      </c>
    </row>
    <row r="8" spans="1:3" x14ac:dyDescent="0.3">
      <c r="B8">
        <v>5</v>
      </c>
      <c r="C8">
        <f>_xlfn.BINOM.DIST(B8, 15, 0.7, FALSE)</f>
        <v>2.9802869386290056E-3</v>
      </c>
    </row>
    <row r="9" spans="1:3" x14ac:dyDescent="0.3">
      <c r="B9">
        <v>6</v>
      </c>
      <c r="C9">
        <f>_xlfn.BINOM.DIST(B9, 15, 0.7, FALSE)</f>
        <v>1.1590004761335015E-2</v>
      </c>
    </row>
    <row r="10" spans="1:3" x14ac:dyDescent="0.3">
      <c r="B10">
        <v>7</v>
      </c>
      <c r="C10">
        <f>_xlfn.BINOM.DIST(B10, 15, 0.7, FALSE)</f>
        <v>3.4770014284004995E-2</v>
      </c>
    </row>
    <row r="11" spans="1:3" x14ac:dyDescent="0.3">
      <c r="B11">
        <v>8</v>
      </c>
      <c r="C11">
        <f>_xlfn.BINOM.DIST(B11, 15, 0.7, FALSE)</f>
        <v>8.1130033329345014E-2</v>
      </c>
    </row>
    <row r="12" spans="1:3" x14ac:dyDescent="0.3">
      <c r="B12">
        <v>9</v>
      </c>
      <c r="C12">
        <f>_xlfn.BINOM.DIST(B12, 15, 0.7, FALSE)</f>
        <v>0.14723598641251504</v>
      </c>
    </row>
    <row r="13" spans="1:3" x14ac:dyDescent="0.3">
      <c r="B13">
        <v>10</v>
      </c>
      <c r="C13">
        <f>_xlfn.BINOM.DIST(B13, 15, 0.7, FALSE)</f>
        <v>0.20613038097752104</v>
      </c>
    </row>
    <row r="14" spans="1:3" x14ac:dyDescent="0.3">
      <c r="B14">
        <v>11</v>
      </c>
      <c r="C14">
        <f>_xlfn.BINOM.DIST(B14, 15, 0.7, FALSE)</f>
        <v>0.21862313133979494</v>
      </c>
    </row>
    <row r="15" spans="1:3" x14ac:dyDescent="0.3">
      <c r="B15">
        <v>12</v>
      </c>
      <c r="C15">
        <f>_xlfn.BINOM.DIST(B15, 15, 0.7, FALSE)</f>
        <v>0.17004021326428495</v>
      </c>
    </row>
    <row r="16" spans="1:3" x14ac:dyDescent="0.3">
      <c r="B16">
        <v>13</v>
      </c>
      <c r="C16">
        <f>_xlfn.BINOM.DIST(B16, 15, 0.7, FALSE)</f>
        <v>9.1560114834614986E-2</v>
      </c>
    </row>
    <row r="17" spans="1:3" x14ac:dyDescent="0.3">
      <c r="B17">
        <v>14</v>
      </c>
      <c r="C17">
        <f>_xlfn.BINOM.DIST(B17, 15, 0.7, FALSE)</f>
        <v>3.0520038278204983E-2</v>
      </c>
    </row>
    <row r="18" spans="1:3" x14ac:dyDescent="0.3">
      <c r="B18">
        <v>15</v>
      </c>
      <c r="C18">
        <f>_xlfn.BINOM.DIST(B18, 15, 0.7, FALSE)</f>
        <v>4.7475615099429949E-3</v>
      </c>
    </row>
    <row r="20" spans="1:3" x14ac:dyDescent="0.3">
      <c r="A20" t="s">
        <v>2</v>
      </c>
    </row>
    <row r="21" spans="1:3" x14ac:dyDescent="0.3">
      <c r="A21">
        <f>1-_xlfn.POISSON.DIST(4, 3, TRUE)</f>
        <v>0.18473675547622792</v>
      </c>
      <c r="B21">
        <v>0</v>
      </c>
      <c r="C21">
        <f>_xlfn.POISSON.DIST(B21, 3, FALSE)</f>
        <v>4.9787068367863944E-2</v>
      </c>
    </row>
    <row r="22" spans="1:3" x14ac:dyDescent="0.3">
      <c r="A22">
        <f>_xlfn.POISSON.DIST(6, 3, TRUE) - _xlfn.POISSON.DIST(2, 3, TRUE)</f>
        <v>0.54330138356431545</v>
      </c>
      <c r="B22">
        <v>1</v>
      </c>
      <c r="C22">
        <f>_xlfn.POISSON.DIST(B22, 3, FALSE)</f>
        <v>0.14936120510359185</v>
      </c>
    </row>
    <row r="23" spans="1:3" x14ac:dyDescent="0.3">
      <c r="B23">
        <v>2</v>
      </c>
      <c r="C23">
        <f>_xlfn.POISSON.DIST(B23, 3, FALSE)</f>
        <v>0.22404180765538775</v>
      </c>
    </row>
    <row r="24" spans="1:3" x14ac:dyDescent="0.3">
      <c r="B24">
        <v>3</v>
      </c>
      <c r="C24">
        <f>_xlfn.POISSON.DIST(B24, 3, FALSE)</f>
        <v>0.22404180765538778</v>
      </c>
    </row>
    <row r="25" spans="1:3" x14ac:dyDescent="0.3">
      <c r="B25">
        <v>4</v>
      </c>
      <c r="C25">
        <f>_xlfn.POISSON.DIST(B25, 3, FALSE)</f>
        <v>0.16803135574154085</v>
      </c>
    </row>
    <row r="26" spans="1:3" x14ac:dyDescent="0.3">
      <c r="B26">
        <v>5</v>
      </c>
      <c r="C26">
        <f>_xlfn.POISSON.DIST(B26, 3, FALSE)</f>
        <v>0.10081881344492449</v>
      </c>
    </row>
    <row r="27" spans="1:3" x14ac:dyDescent="0.3">
      <c r="B27">
        <v>6</v>
      </c>
      <c r="C27">
        <f>_xlfn.POISSON.DIST(B27, 3, FALSE)</f>
        <v>5.0409406722462261E-2</v>
      </c>
    </row>
    <row r="28" spans="1:3" x14ac:dyDescent="0.3">
      <c r="B28">
        <v>7</v>
      </c>
      <c r="C28">
        <f>_xlfn.POISSON.DIST(B28, 3, FALSE)</f>
        <v>2.1604031452483807E-2</v>
      </c>
    </row>
    <row r="29" spans="1:3" x14ac:dyDescent="0.3">
      <c r="B29">
        <v>8</v>
      </c>
      <c r="C29">
        <f>_xlfn.POISSON.DIST(B29, 3, FALSE)</f>
        <v>8.1015117946814375E-3</v>
      </c>
    </row>
    <row r="30" spans="1:3" x14ac:dyDescent="0.3">
      <c r="B30">
        <v>9</v>
      </c>
      <c r="C30">
        <f>_xlfn.POISSON.DIST(B30, 3, FALSE)</f>
        <v>2.7005039315604771E-3</v>
      </c>
    </row>
    <row r="31" spans="1:3" x14ac:dyDescent="0.3">
      <c r="B31">
        <v>10</v>
      </c>
      <c r="C31">
        <f>_xlfn.POISSON.DIST(B31, 3, FALSE)</f>
        <v>8.1015117946814244E-4</v>
      </c>
    </row>
    <row r="32" spans="1:3" x14ac:dyDescent="0.3">
      <c r="B32">
        <v>11</v>
      </c>
      <c r="C32">
        <f>_xlfn.POISSON.DIST(B32, 3, FALSE)</f>
        <v>2.2095032167312987E-4</v>
      </c>
    </row>
    <row r="33" spans="1:3" x14ac:dyDescent="0.3">
      <c r="B33">
        <v>12</v>
      </c>
      <c r="C33">
        <f>_xlfn.POISSON.DIST(B33, 3, FALSE)</f>
        <v>5.5237580418282596E-5</v>
      </c>
    </row>
    <row r="34" spans="1:3" x14ac:dyDescent="0.3">
      <c r="B34">
        <v>13</v>
      </c>
      <c r="C34">
        <f>_xlfn.POISSON.DIST(B34, 3, FALSE)</f>
        <v>1.2747133942680586E-5</v>
      </c>
    </row>
    <row r="35" spans="1:3" x14ac:dyDescent="0.3">
      <c r="B35">
        <v>14</v>
      </c>
      <c r="C35">
        <f>_xlfn.POISSON.DIST(B35, 3, FALSE)</f>
        <v>2.7315287020029766E-6</v>
      </c>
    </row>
    <row r="36" spans="1:3" x14ac:dyDescent="0.3">
      <c r="B36">
        <v>15</v>
      </c>
      <c r="C36">
        <f>_xlfn.POISSON.DIST(B36, 3, FALSE)</f>
        <v>5.4630574040059675E-7</v>
      </c>
    </row>
    <row r="38" spans="1:3" x14ac:dyDescent="0.3">
      <c r="A38" t="s">
        <v>3</v>
      </c>
    </row>
    <row r="39" spans="1:3" x14ac:dyDescent="0.3">
      <c r="A39">
        <f>1-_xlfn.NORM.DIST(114, 100, 5, TRUE)</f>
        <v>2.5551303304279793E-3</v>
      </c>
      <c r="B39">
        <v>80</v>
      </c>
      <c r="C39">
        <f>_xlfn.NORM.DIST(B39, 100, 5, TRUE)</f>
        <v>3.1671241833119857E-5</v>
      </c>
    </row>
    <row r="40" spans="1:3" x14ac:dyDescent="0.3">
      <c r="A40">
        <f>_xlfn.NORM.DIST(105, 100, 5, TRUE) - _xlfn.NORM.DIST(95, 100, 5, TRUE)</f>
        <v>0.68268949213708607</v>
      </c>
      <c r="B40">
        <v>81</v>
      </c>
      <c r="C40">
        <f>_xlfn.NORM.DIST(B40, 100, 5, TRUE)</f>
        <v>7.234804392511999E-5</v>
      </c>
    </row>
    <row r="41" spans="1:3" x14ac:dyDescent="0.3">
      <c r="B41">
        <v>82</v>
      </c>
      <c r="C41">
        <f>_xlfn.NORM.DIST(B41, 100, 5, TRUE)</f>
        <v>1.5910859015753364E-4</v>
      </c>
    </row>
    <row r="42" spans="1:3" x14ac:dyDescent="0.3">
      <c r="B42">
        <v>83</v>
      </c>
      <c r="C42">
        <f>_xlfn.NORM.DIST(B42, 100, 5, TRUE)</f>
        <v>3.369292656768808E-4</v>
      </c>
    </row>
    <row r="43" spans="1:3" x14ac:dyDescent="0.3">
      <c r="B43">
        <v>84</v>
      </c>
      <c r="C43">
        <f>_xlfn.NORM.DIST(B43, 100, 5, TRUE)</f>
        <v>6.8713793791584719E-4</v>
      </c>
    </row>
    <row r="44" spans="1:3" x14ac:dyDescent="0.3">
      <c r="B44">
        <v>85</v>
      </c>
      <c r="C44">
        <f>_xlfn.NORM.DIST(B44, 100, 5, TRUE)</f>
        <v>1.3498980316300933E-3</v>
      </c>
    </row>
    <row r="45" spans="1:3" x14ac:dyDescent="0.3">
      <c r="B45">
        <v>86</v>
      </c>
      <c r="C45">
        <f>_xlfn.NORM.DIST(B45, 100, 5, TRUE)</f>
        <v>2.5551303304279312E-3</v>
      </c>
    </row>
    <row r="46" spans="1:3" x14ac:dyDescent="0.3">
      <c r="B46">
        <v>87</v>
      </c>
      <c r="C46">
        <f>_xlfn.NORM.DIST(B46, 100, 5, TRUE)</f>
        <v>4.6611880237187476E-3</v>
      </c>
    </row>
    <row r="47" spans="1:3" x14ac:dyDescent="0.3">
      <c r="B47">
        <v>88</v>
      </c>
      <c r="C47">
        <f>_xlfn.NORM.DIST(B47, 100, 5, TRUE)</f>
        <v>8.1975359245961311E-3</v>
      </c>
    </row>
    <row r="48" spans="1:3" x14ac:dyDescent="0.3">
      <c r="B48">
        <v>89</v>
      </c>
      <c r="C48">
        <f>_xlfn.NORM.DIST(B48, 100, 5, TRUE)</f>
        <v>1.3903447513498597E-2</v>
      </c>
    </row>
    <row r="49" spans="2:3" x14ac:dyDescent="0.3">
      <c r="B49">
        <v>90</v>
      </c>
      <c r="C49">
        <f>_xlfn.NORM.DIST(B49, 100, 5, TRUE)</f>
        <v>2.2750131948179191E-2</v>
      </c>
    </row>
    <row r="50" spans="2:3" x14ac:dyDescent="0.3">
      <c r="B50">
        <v>91</v>
      </c>
      <c r="C50">
        <f>_xlfn.NORM.DIST(B50, 100, 5, TRUE)</f>
        <v>3.5930319112925789E-2</v>
      </c>
    </row>
    <row r="51" spans="2:3" x14ac:dyDescent="0.3">
      <c r="B51">
        <v>92</v>
      </c>
      <c r="C51">
        <f>_xlfn.NORM.DIST(B51, 100, 5, TRUE)</f>
        <v>5.4799291699557967E-2</v>
      </c>
    </row>
    <row r="52" spans="2:3" x14ac:dyDescent="0.3">
      <c r="B52">
        <v>93</v>
      </c>
      <c r="C52">
        <f>_xlfn.NORM.DIST(B52, 100, 5, TRUE)</f>
        <v>8.0756659233771053E-2</v>
      </c>
    </row>
    <row r="53" spans="2:3" x14ac:dyDescent="0.3">
      <c r="B53">
        <v>94</v>
      </c>
      <c r="C53">
        <f>_xlfn.NORM.DIST(B53, 100, 5, TRUE)</f>
        <v>0.11506967022170828</v>
      </c>
    </row>
    <row r="54" spans="2:3" x14ac:dyDescent="0.3">
      <c r="B54">
        <v>95</v>
      </c>
      <c r="C54">
        <f>_xlfn.NORM.DIST(B54, 100, 5, TRUE)</f>
        <v>0.15865525393145699</v>
      </c>
    </row>
    <row r="55" spans="2:3" x14ac:dyDescent="0.3">
      <c r="B55">
        <v>96</v>
      </c>
      <c r="C55">
        <f>_xlfn.NORM.DIST(B55, 100, 5, TRUE)</f>
        <v>0.21185539858339661</v>
      </c>
    </row>
    <row r="56" spans="2:3" x14ac:dyDescent="0.3">
      <c r="B56">
        <v>97</v>
      </c>
      <c r="C56">
        <f>_xlfn.NORM.DIST(B56, 100, 5, TRUE)</f>
        <v>0.27425311775007355</v>
      </c>
    </row>
    <row r="57" spans="2:3" x14ac:dyDescent="0.3">
      <c r="B57">
        <v>98</v>
      </c>
      <c r="C57">
        <f>_xlfn.NORM.DIST(B57, 100, 5, TRUE)</f>
        <v>0.34457825838967576</v>
      </c>
    </row>
    <row r="58" spans="2:3" x14ac:dyDescent="0.3">
      <c r="B58">
        <v>99</v>
      </c>
      <c r="C58">
        <f>_xlfn.NORM.DIST(B58, 100, 5, TRUE)</f>
        <v>0.42074029056089696</v>
      </c>
    </row>
    <row r="59" spans="2:3" x14ac:dyDescent="0.3">
      <c r="B59">
        <v>100</v>
      </c>
      <c r="C59">
        <f>_xlfn.NORM.DIST(B59, 100, 5, TRUE)</f>
        <v>0.5</v>
      </c>
    </row>
    <row r="60" spans="2:3" x14ac:dyDescent="0.3">
      <c r="B60">
        <v>101</v>
      </c>
      <c r="C60">
        <f>_xlfn.NORM.DIST(B60, 100, 5, TRUE)</f>
        <v>0.57925970943910299</v>
      </c>
    </row>
    <row r="61" spans="2:3" x14ac:dyDescent="0.3">
      <c r="B61">
        <v>102</v>
      </c>
      <c r="C61">
        <f>_xlfn.NORM.DIST(B61, 100, 5, TRUE)</f>
        <v>0.65542174161032429</v>
      </c>
    </row>
    <row r="62" spans="2:3" x14ac:dyDescent="0.3">
      <c r="B62">
        <v>103</v>
      </c>
      <c r="C62">
        <f>_xlfn.NORM.DIST(B62, 100, 5, TRUE)</f>
        <v>0.72574688224992645</v>
      </c>
    </row>
    <row r="63" spans="2:3" x14ac:dyDescent="0.3">
      <c r="B63">
        <v>104</v>
      </c>
      <c r="C63">
        <f>_xlfn.NORM.DIST(B63, 100, 5, TRUE)</f>
        <v>0.78814460141660336</v>
      </c>
    </row>
    <row r="64" spans="2:3" x14ac:dyDescent="0.3">
      <c r="B64">
        <v>105</v>
      </c>
      <c r="C64">
        <f>_xlfn.NORM.DIST(B64, 100, 5, TRUE)</f>
        <v>0.84134474606854304</v>
      </c>
    </row>
    <row r="65" spans="2:3" x14ac:dyDescent="0.3">
      <c r="B65">
        <v>106</v>
      </c>
      <c r="C65">
        <f>_xlfn.NORM.DIST(B65, 100, 5, TRUE)</f>
        <v>0.88493032977829178</v>
      </c>
    </row>
    <row r="66" spans="2:3" x14ac:dyDescent="0.3">
      <c r="B66">
        <v>107</v>
      </c>
      <c r="C66">
        <f>_xlfn.NORM.DIST(B66, 100, 5, TRUE)</f>
        <v>0.91924334076622893</v>
      </c>
    </row>
    <row r="67" spans="2:3" x14ac:dyDescent="0.3">
      <c r="B67">
        <v>108</v>
      </c>
      <c r="C67">
        <f>_xlfn.NORM.DIST(B67, 100, 5, TRUE)</f>
        <v>0.94520070830044201</v>
      </c>
    </row>
    <row r="68" spans="2:3" x14ac:dyDescent="0.3">
      <c r="B68">
        <v>109</v>
      </c>
      <c r="C68">
        <f>_xlfn.NORM.DIST(B68, 100, 5, TRUE)</f>
        <v>0.96406968088707423</v>
      </c>
    </row>
    <row r="69" spans="2:3" x14ac:dyDescent="0.3">
      <c r="B69">
        <v>110</v>
      </c>
      <c r="C69">
        <f>_xlfn.NORM.DIST(B69, 100, 5, TRUE)</f>
        <v>0.97724986805182079</v>
      </c>
    </row>
    <row r="70" spans="2:3" x14ac:dyDescent="0.3">
      <c r="B70">
        <v>111</v>
      </c>
      <c r="C70">
        <f>_xlfn.NORM.DIST(B70, 100, 5, TRUE)</f>
        <v>0.98609655248650141</v>
      </c>
    </row>
    <row r="71" spans="2:3" x14ac:dyDescent="0.3">
      <c r="B71">
        <v>112</v>
      </c>
      <c r="C71">
        <f>_xlfn.NORM.DIST(B71, 100, 5, TRUE)</f>
        <v>0.99180246407540384</v>
      </c>
    </row>
    <row r="72" spans="2:3" x14ac:dyDescent="0.3">
      <c r="B72">
        <v>113</v>
      </c>
      <c r="C72">
        <f>_xlfn.NORM.DIST(B72, 100, 5, TRUE)</f>
        <v>0.99533881197628127</v>
      </c>
    </row>
    <row r="73" spans="2:3" x14ac:dyDescent="0.3">
      <c r="B73">
        <v>114</v>
      </c>
      <c r="C73">
        <f>_xlfn.NORM.DIST(B73, 100, 5, TRUE)</f>
        <v>0.99744486966957202</v>
      </c>
    </row>
    <row r="74" spans="2:3" x14ac:dyDescent="0.3">
      <c r="B74">
        <v>115</v>
      </c>
      <c r="C74">
        <f>_xlfn.NORM.DIST(B74, 100, 5, TRUE)</f>
        <v>0.9986501019683699</v>
      </c>
    </row>
    <row r="75" spans="2:3" x14ac:dyDescent="0.3">
      <c r="B75">
        <v>116</v>
      </c>
      <c r="C75">
        <f>_xlfn.NORM.DIST(B75, 100, 5, TRUE)</f>
        <v>0.99931286206208414</v>
      </c>
    </row>
    <row r="76" spans="2:3" x14ac:dyDescent="0.3">
      <c r="B76">
        <v>117</v>
      </c>
      <c r="C76">
        <f>_xlfn.NORM.DIST(B76, 100, 5, TRUE)</f>
        <v>0.99966307073432314</v>
      </c>
    </row>
    <row r="77" spans="2:3" x14ac:dyDescent="0.3">
      <c r="B77">
        <v>118</v>
      </c>
      <c r="C77">
        <f>_xlfn.NORM.DIST(B77, 100, 5, TRUE)</f>
        <v>0.99984089140984245</v>
      </c>
    </row>
    <row r="78" spans="2:3" x14ac:dyDescent="0.3">
      <c r="B78">
        <v>119</v>
      </c>
      <c r="C78">
        <f>_xlfn.NORM.DIST(B78, 100, 5, TRUE)</f>
        <v>0.99992765195607491</v>
      </c>
    </row>
    <row r="79" spans="2:3" x14ac:dyDescent="0.3">
      <c r="B79">
        <v>120</v>
      </c>
      <c r="C79">
        <f>_xlfn.NORM.DIST(B79, 100, 5, TRUE)</f>
        <v>0.99996832875816688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7F1A-43EF-4FB2-9B6E-3B01B42D7841}">
  <dimension ref="A1:A13"/>
  <sheetViews>
    <sheetView workbookViewId="0">
      <selection activeCell="A12" sqref="A12"/>
    </sheetView>
  </sheetViews>
  <sheetFormatPr defaultRowHeight="16.5" x14ac:dyDescent="0.3"/>
  <cols>
    <col min="1" max="1" width="13.125" customWidth="1"/>
  </cols>
  <sheetData>
    <row r="1" spans="1:1" x14ac:dyDescent="0.3">
      <c r="A1" t="s">
        <v>4</v>
      </c>
    </row>
    <row r="2" spans="1:1" x14ac:dyDescent="0.3">
      <c r="A2" t="s">
        <v>1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s="2">
        <f>1-_xlfn.NORM.DIST(172, 170, 1.2, TRUE)</f>
        <v>4.7790352272814696E-2</v>
      </c>
    </row>
    <row r="7" spans="1:1" x14ac:dyDescent="0.3">
      <c r="A7" t="s">
        <v>2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s="2">
        <f>1-_xlfn.NORM.DIST(40, 50, SQRT(47.5), TRUE)</f>
        <v>0.9266034563457145</v>
      </c>
    </row>
    <row r="13" spans="1:1" x14ac:dyDescent="0.3">
      <c r="A1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63D2-50CA-4018-8E04-2CC934EDDC79}">
  <dimension ref="A1:G41"/>
  <sheetViews>
    <sheetView workbookViewId="0">
      <selection activeCell="A43" sqref="A43"/>
    </sheetView>
  </sheetViews>
  <sheetFormatPr defaultRowHeight="16.5" x14ac:dyDescent="0.3"/>
  <sheetData>
    <row r="1" spans="1:7" x14ac:dyDescent="0.3">
      <c r="A1" t="s">
        <v>12</v>
      </c>
    </row>
    <row r="2" spans="1:7" x14ac:dyDescent="0.3">
      <c r="A2">
        <v>10</v>
      </c>
      <c r="C2" t="s">
        <v>13</v>
      </c>
      <c r="F2">
        <f>AVERAGE(A2:A41)</f>
        <v>4.625</v>
      </c>
    </row>
    <row r="3" spans="1:7" x14ac:dyDescent="0.3">
      <c r="A3">
        <v>8</v>
      </c>
      <c r="C3" t="s">
        <v>15</v>
      </c>
      <c r="F3">
        <f>_xlfn.VAR.S(A2:A41)/40</f>
        <v>0.26113782051282053</v>
      </c>
    </row>
    <row r="4" spans="1:7" x14ac:dyDescent="0.3">
      <c r="A4">
        <v>6</v>
      </c>
      <c r="C4" t="s">
        <v>14</v>
      </c>
      <c r="F4">
        <f>_xlfn.STDEV.S(A2:A41)/SQRT(40)</f>
        <v>0.51101645816237706</v>
      </c>
    </row>
    <row r="5" spans="1:7" x14ac:dyDescent="0.3">
      <c r="A5">
        <v>5</v>
      </c>
      <c r="C5" t="s">
        <v>16</v>
      </c>
      <c r="F5">
        <f>F2-TINV(0.05, 39) * F4</f>
        <v>3.5913716500856152</v>
      </c>
      <c r="G5">
        <f>F2+TINV(0.05, 39)*F4</f>
        <v>5.6586283499143848</v>
      </c>
    </row>
    <row r="6" spans="1:7" x14ac:dyDescent="0.3">
      <c r="A6">
        <v>3</v>
      </c>
    </row>
    <row r="7" spans="1:7" x14ac:dyDescent="0.3">
      <c r="A7">
        <v>3</v>
      </c>
    </row>
    <row r="8" spans="1:7" x14ac:dyDescent="0.3">
      <c r="A8">
        <v>8</v>
      </c>
    </row>
    <row r="9" spans="1:7" x14ac:dyDescent="0.3">
      <c r="A9">
        <v>5</v>
      </c>
    </row>
    <row r="10" spans="1:7" x14ac:dyDescent="0.3">
      <c r="A10">
        <v>0</v>
      </c>
    </row>
    <row r="11" spans="1:7" x14ac:dyDescent="0.3">
      <c r="A11">
        <v>9</v>
      </c>
    </row>
    <row r="12" spans="1:7" x14ac:dyDescent="0.3">
      <c r="A12">
        <v>9</v>
      </c>
    </row>
    <row r="13" spans="1:7" x14ac:dyDescent="0.3">
      <c r="A13">
        <v>0</v>
      </c>
    </row>
    <row r="14" spans="1:7" x14ac:dyDescent="0.3">
      <c r="A14">
        <v>4</v>
      </c>
    </row>
    <row r="15" spans="1:7" x14ac:dyDescent="0.3">
      <c r="A15">
        <v>3</v>
      </c>
    </row>
    <row r="16" spans="1:7" x14ac:dyDescent="0.3">
      <c r="A16">
        <v>1</v>
      </c>
    </row>
    <row r="17" spans="1:1" x14ac:dyDescent="0.3">
      <c r="A17">
        <v>2</v>
      </c>
    </row>
    <row r="18" spans="1:1" x14ac:dyDescent="0.3">
      <c r="A18">
        <v>3</v>
      </c>
    </row>
    <row r="19" spans="1:1" x14ac:dyDescent="0.3">
      <c r="A19">
        <v>4</v>
      </c>
    </row>
    <row r="20" spans="1:1" x14ac:dyDescent="0.3">
      <c r="A20">
        <v>0</v>
      </c>
    </row>
    <row r="21" spans="1:1" x14ac:dyDescent="0.3">
      <c r="A21">
        <v>6</v>
      </c>
    </row>
    <row r="22" spans="1:1" x14ac:dyDescent="0.3">
      <c r="A22">
        <v>9</v>
      </c>
    </row>
    <row r="23" spans="1:1" x14ac:dyDescent="0.3">
      <c r="A23">
        <v>5</v>
      </c>
    </row>
    <row r="24" spans="1:1" x14ac:dyDescent="0.3">
      <c r="A24">
        <v>0</v>
      </c>
    </row>
    <row r="25" spans="1:1" x14ac:dyDescent="0.3">
      <c r="A25">
        <v>8</v>
      </c>
    </row>
    <row r="26" spans="1:1" x14ac:dyDescent="0.3">
      <c r="A26">
        <v>9</v>
      </c>
    </row>
    <row r="27" spans="1:1" x14ac:dyDescent="0.3">
      <c r="A27">
        <v>0</v>
      </c>
    </row>
    <row r="28" spans="1:1" x14ac:dyDescent="0.3">
      <c r="A28">
        <v>4</v>
      </c>
    </row>
    <row r="29" spans="1:1" x14ac:dyDescent="0.3">
      <c r="A29">
        <v>10</v>
      </c>
    </row>
    <row r="30" spans="1:1" x14ac:dyDescent="0.3">
      <c r="A30">
        <v>8</v>
      </c>
    </row>
    <row r="31" spans="1:1" x14ac:dyDescent="0.3">
      <c r="A31">
        <v>0</v>
      </c>
    </row>
    <row r="32" spans="1:1" x14ac:dyDescent="0.3">
      <c r="A32">
        <v>10</v>
      </c>
    </row>
    <row r="33" spans="1:1" x14ac:dyDescent="0.3">
      <c r="A33">
        <v>5</v>
      </c>
    </row>
    <row r="34" spans="1:1" x14ac:dyDescent="0.3">
      <c r="A34">
        <v>6</v>
      </c>
    </row>
    <row r="35" spans="1:1" x14ac:dyDescent="0.3">
      <c r="A35">
        <v>1</v>
      </c>
    </row>
    <row r="36" spans="1:1" x14ac:dyDescent="0.3">
      <c r="A36">
        <v>3</v>
      </c>
    </row>
    <row r="37" spans="1:1" x14ac:dyDescent="0.3">
      <c r="A37">
        <v>3</v>
      </c>
    </row>
    <row r="38" spans="1:1" x14ac:dyDescent="0.3">
      <c r="A38">
        <v>1</v>
      </c>
    </row>
    <row r="39" spans="1:1" x14ac:dyDescent="0.3">
      <c r="A39">
        <v>5</v>
      </c>
    </row>
    <row r="40" spans="1:1" x14ac:dyDescent="0.3">
      <c r="A40">
        <v>5</v>
      </c>
    </row>
    <row r="41" spans="1:1" x14ac:dyDescent="0.3">
      <c r="A41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D0C8-BA01-4745-9BA3-BFD8C4BC48DD}">
  <dimension ref="A1:A16"/>
  <sheetViews>
    <sheetView workbookViewId="0">
      <selection activeCell="B15" sqref="B15"/>
    </sheetView>
  </sheetViews>
  <sheetFormatPr defaultRowHeight="16.5" x14ac:dyDescent="0.3"/>
  <sheetData>
    <row r="1" spans="1:1" x14ac:dyDescent="0.3">
      <c r="A1" t="s">
        <v>22</v>
      </c>
    </row>
    <row r="2" spans="1:1" x14ac:dyDescent="0.3">
      <c r="A2">
        <v>22</v>
      </c>
    </row>
    <row r="3" spans="1:1" x14ac:dyDescent="0.3">
      <c r="A3">
        <v>25</v>
      </c>
    </row>
    <row r="4" spans="1:1" x14ac:dyDescent="0.3">
      <c r="A4">
        <v>34</v>
      </c>
    </row>
    <row r="5" spans="1:1" x14ac:dyDescent="0.3">
      <c r="A5">
        <v>35</v>
      </c>
    </row>
    <row r="6" spans="1:1" x14ac:dyDescent="0.3">
      <c r="A6">
        <v>41</v>
      </c>
    </row>
    <row r="7" spans="1:1" x14ac:dyDescent="0.3">
      <c r="A7">
        <v>41</v>
      </c>
    </row>
    <row r="8" spans="1:1" x14ac:dyDescent="0.3">
      <c r="A8">
        <v>46</v>
      </c>
    </row>
    <row r="9" spans="1:1" x14ac:dyDescent="0.3">
      <c r="A9">
        <v>46</v>
      </c>
    </row>
    <row r="10" spans="1:1" x14ac:dyDescent="0.3">
      <c r="A10">
        <v>46</v>
      </c>
    </row>
    <row r="11" spans="1:1" x14ac:dyDescent="0.3">
      <c r="A11">
        <v>47</v>
      </c>
    </row>
    <row r="12" spans="1:1" x14ac:dyDescent="0.3">
      <c r="A12">
        <v>49</v>
      </c>
    </row>
    <row r="13" spans="1:1" x14ac:dyDescent="0.3">
      <c r="A13">
        <v>54</v>
      </c>
    </row>
    <row r="14" spans="1:1" x14ac:dyDescent="0.3">
      <c r="A14">
        <v>54</v>
      </c>
    </row>
    <row r="15" spans="1:1" x14ac:dyDescent="0.3">
      <c r="A15">
        <v>58</v>
      </c>
    </row>
    <row r="16" spans="1:1" x14ac:dyDescent="0.3">
      <c r="A16">
        <v>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32A4-9383-424A-BA31-FC984E05149C}">
  <dimension ref="A1:I19"/>
  <sheetViews>
    <sheetView workbookViewId="0">
      <selection sqref="A1:XFD1048576"/>
    </sheetView>
  </sheetViews>
  <sheetFormatPr defaultRowHeight="16.5" x14ac:dyDescent="0.3"/>
  <cols>
    <col min="1" max="16384" width="9" style="9"/>
  </cols>
  <sheetData>
    <row r="1" spans="1:9" x14ac:dyDescent="0.3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</row>
    <row r="2" spans="1:9" x14ac:dyDescent="0.3">
      <c r="A2" s="9">
        <v>1</v>
      </c>
      <c r="B2" s="9">
        <v>4.1608876569112274</v>
      </c>
      <c r="C2" s="9">
        <v>0.22280516642907258</v>
      </c>
      <c r="D2" s="9">
        <v>0.21606562141073682</v>
      </c>
      <c r="E2" s="9">
        <v>64</v>
      </c>
      <c r="F2" s="9">
        <v>59.839112343088765</v>
      </c>
      <c r="G2" s="9">
        <v>44.351467839048127</v>
      </c>
      <c r="H2" s="9">
        <v>75.326756847129403</v>
      </c>
      <c r="I2" s="9">
        <v>0.3</v>
      </c>
    </row>
    <row r="3" spans="1:9" x14ac:dyDescent="0.3">
      <c r="A3" s="9">
        <v>2</v>
      </c>
      <c r="B3" s="9">
        <v>-2.3310900522850453E-2</v>
      </c>
      <c r="C3" s="9">
        <v>-1.2472914711565261E-3</v>
      </c>
      <c r="D3" s="9">
        <v>-1.2076848326276572E-3</v>
      </c>
      <c r="E3" s="9">
        <v>60</v>
      </c>
      <c r="F3" s="9">
        <v>60.02331090052283</v>
      </c>
      <c r="G3" s="9">
        <v>44.61289776906856</v>
      </c>
      <c r="H3" s="9">
        <v>75.433724031977093</v>
      </c>
      <c r="I3" s="9">
        <v>0.4</v>
      </c>
    </row>
    <row r="4" spans="1:9" x14ac:dyDescent="0.3">
      <c r="A4" s="9">
        <v>3</v>
      </c>
      <c r="B4" s="9">
        <v>6.0033280487569289</v>
      </c>
      <c r="C4" s="9">
        <v>0.31557509960949887</v>
      </c>
      <c r="D4" s="9">
        <v>0.30650965822079229</v>
      </c>
      <c r="E4" s="9">
        <v>71</v>
      </c>
      <c r="F4" s="9">
        <v>64.996671951243059</v>
      </c>
      <c r="G4" s="9">
        <v>51.54920939861838</v>
      </c>
      <c r="H4" s="9">
        <v>78.44413450386773</v>
      </c>
      <c r="I4" s="9">
        <v>3.1</v>
      </c>
    </row>
    <row r="5" spans="1:9" x14ac:dyDescent="0.3">
      <c r="A5" s="9">
        <v>4</v>
      </c>
      <c r="B5" s="9">
        <v>0.60829198460898937</v>
      </c>
      <c r="C5" s="9">
        <v>3.2499021761916505E-2</v>
      </c>
      <c r="D5" s="9">
        <v>3.1468081160119822E-2</v>
      </c>
      <c r="E5" s="9">
        <v>61</v>
      </c>
      <c r="F5" s="9">
        <v>60.391708015391011</v>
      </c>
      <c r="G5" s="9">
        <v>45.134905995006051</v>
      </c>
      <c r="H5" s="9">
        <v>75.648510035775971</v>
      </c>
      <c r="I5" s="9">
        <v>0.6</v>
      </c>
    </row>
    <row r="6" spans="1:9" x14ac:dyDescent="0.3">
      <c r="A6" s="9">
        <v>5</v>
      </c>
      <c r="B6" s="9">
        <v>-13.943848870188374</v>
      </c>
      <c r="C6" s="9">
        <v>-0.72708563251994085</v>
      </c>
      <c r="D6" s="9">
        <v>-0.71592435394869314</v>
      </c>
      <c r="E6" s="9">
        <v>54</v>
      </c>
      <c r="F6" s="9">
        <v>67.943848870188376</v>
      </c>
      <c r="G6" s="9">
        <v>55.520109495797406</v>
      </c>
      <c r="H6" s="9">
        <v>80.367588244579338</v>
      </c>
      <c r="I6" s="9">
        <v>4.7</v>
      </c>
    </row>
    <row r="7" spans="1:9" x14ac:dyDescent="0.3">
      <c r="A7" s="9">
        <v>6</v>
      </c>
      <c r="B7" s="9">
        <v>14.58210785283409</v>
      </c>
      <c r="C7" s="9">
        <v>0.77309688171498925</v>
      </c>
      <c r="D7" s="9">
        <v>0.76293311000729724</v>
      </c>
      <c r="E7" s="9">
        <v>77</v>
      </c>
      <c r="F7" s="9">
        <v>62.417892147165908</v>
      </c>
      <c r="G7" s="9">
        <v>47.984155755170534</v>
      </c>
      <c r="H7" s="9">
        <v>76.851628539161283</v>
      </c>
      <c r="I7" s="9">
        <v>1.7</v>
      </c>
    </row>
    <row r="8" spans="1:9" x14ac:dyDescent="0.3">
      <c r="A8" s="9">
        <v>7</v>
      </c>
      <c r="B8" s="9">
        <v>4.3988189304097576</v>
      </c>
      <c r="C8" s="9">
        <v>0.22615707833704193</v>
      </c>
      <c r="D8" s="9">
        <v>0.21932648940111293</v>
      </c>
      <c r="E8" s="9">
        <v>81</v>
      </c>
      <c r="F8" s="9">
        <v>76.601181069590226</v>
      </c>
      <c r="G8" s="9">
        <v>66.255402345201745</v>
      </c>
      <c r="H8" s="9">
        <v>86.946959793978706</v>
      </c>
      <c r="I8" s="9">
        <v>9.4</v>
      </c>
    </row>
    <row r="9" spans="1:9" x14ac:dyDescent="0.3">
      <c r="A9" s="9">
        <v>8</v>
      </c>
      <c r="B9" s="9">
        <v>15.109429028371185</v>
      </c>
      <c r="C9" s="9">
        <v>0.77610334351145849</v>
      </c>
      <c r="D9" s="9">
        <v>0.76601587546603611</v>
      </c>
      <c r="E9" s="9">
        <v>93</v>
      </c>
      <c r="F9" s="9">
        <v>77.890570971628819</v>
      </c>
      <c r="G9" s="9">
        <v>67.698412355035671</v>
      </c>
      <c r="H9" s="9">
        <v>88.082729588221966</v>
      </c>
      <c r="I9" s="9">
        <v>10.1</v>
      </c>
    </row>
    <row r="10" spans="1:9" x14ac:dyDescent="0.3">
      <c r="A10" s="9">
        <v>9</v>
      </c>
      <c r="B10" s="9">
        <v>12.346450666859962</v>
      </c>
      <c r="C10" s="9">
        <v>0.63355639869566927</v>
      </c>
      <c r="D10" s="9">
        <v>0.62128091488567438</v>
      </c>
      <c r="E10" s="9">
        <v>93</v>
      </c>
      <c r="F10" s="9">
        <v>80.653549333140035</v>
      </c>
      <c r="G10" s="9">
        <v>70.627739814768915</v>
      </c>
      <c r="H10" s="9">
        <v>90.679358851511154</v>
      </c>
      <c r="I10" s="9">
        <v>11.6</v>
      </c>
    </row>
    <row r="11" spans="1:9" x14ac:dyDescent="0.3">
      <c r="A11" s="9">
        <v>10</v>
      </c>
      <c r="B11" s="9">
        <v>-31.495534907480867</v>
      </c>
      <c r="C11" s="9">
        <v>-1.6163460971539083</v>
      </c>
      <c r="D11" s="9">
        <v>-1.7109269146437258</v>
      </c>
      <c r="E11" s="9">
        <v>51</v>
      </c>
      <c r="F11" s="9">
        <v>82.495534907480874</v>
      </c>
      <c r="G11" s="9">
        <v>72.453194306923862</v>
      </c>
      <c r="H11" s="9">
        <v>92.537875508037885</v>
      </c>
      <c r="I11" s="9">
        <v>12.6</v>
      </c>
    </row>
    <row r="12" spans="1:9" x14ac:dyDescent="0.3">
      <c r="A12" s="9">
        <v>11</v>
      </c>
      <c r="B12" s="9">
        <v>-3.3641594311014851</v>
      </c>
      <c r="C12" s="9">
        <v>-0.17268161484068095</v>
      </c>
      <c r="D12" s="9">
        <v>-0.16735427506764741</v>
      </c>
      <c r="E12" s="9">
        <v>76</v>
      </c>
      <c r="F12" s="9">
        <v>79.364159431101484</v>
      </c>
      <c r="G12" s="9">
        <v>69.288951577336064</v>
      </c>
      <c r="H12" s="9">
        <v>89.439367284866904</v>
      </c>
      <c r="I12" s="9">
        <v>10.9</v>
      </c>
    </row>
    <row r="13" spans="1:9" x14ac:dyDescent="0.3">
      <c r="A13" s="9">
        <v>12</v>
      </c>
      <c r="B13" s="9">
        <v>-5.8363834380594959</v>
      </c>
      <c r="C13" s="9">
        <v>-0.31141157380686663</v>
      </c>
      <c r="D13" s="9">
        <v>-0.30244091107199522</v>
      </c>
      <c r="E13" s="9">
        <v>96</v>
      </c>
      <c r="F13" s="9">
        <v>101.8363834380595</v>
      </c>
      <c r="G13" s="9">
        <v>86.715148240872338</v>
      </c>
      <c r="H13" s="9">
        <v>116.95761863524666</v>
      </c>
      <c r="I13" s="9">
        <v>23.1</v>
      </c>
    </row>
    <row r="14" spans="1:9" x14ac:dyDescent="0.3">
      <c r="A14" s="9">
        <v>13</v>
      </c>
      <c r="B14" s="9">
        <v>-24.836383438059492</v>
      </c>
      <c r="C14" s="9">
        <v>-1.3251934757543014</v>
      </c>
      <c r="D14" s="9">
        <v>-1.3599127202309034</v>
      </c>
      <c r="E14" s="9">
        <v>77</v>
      </c>
      <c r="F14" s="9">
        <v>101.8363834380595</v>
      </c>
      <c r="G14" s="9">
        <v>86.715148240872338</v>
      </c>
      <c r="H14" s="9">
        <v>116.95761863524666</v>
      </c>
      <c r="I14" s="9">
        <v>23.1</v>
      </c>
    </row>
    <row r="15" spans="1:9" x14ac:dyDescent="0.3">
      <c r="A15" s="9">
        <v>14</v>
      </c>
      <c r="B15" s="9">
        <v>-6.0734050765482657</v>
      </c>
      <c r="C15" s="9">
        <v>-0.32080715550779432</v>
      </c>
      <c r="D15" s="9">
        <v>-0.31162404339938504</v>
      </c>
      <c r="E15" s="9">
        <v>93</v>
      </c>
      <c r="F15" s="9">
        <v>99.073405076548269</v>
      </c>
      <c r="G15" s="9">
        <v>85.05573573029605</v>
      </c>
      <c r="H15" s="9">
        <v>113.09107442280049</v>
      </c>
      <c r="I15" s="9">
        <v>21.6</v>
      </c>
    </row>
    <row r="16" spans="1:9" x14ac:dyDescent="0.3">
      <c r="A16" s="9">
        <v>15</v>
      </c>
      <c r="B16" s="9">
        <v>-6.8363834380594959</v>
      </c>
      <c r="C16" s="9">
        <v>-0.36476851601462634</v>
      </c>
      <c r="D16" s="9">
        <v>-0.35466336669287646</v>
      </c>
      <c r="E16" s="9">
        <v>95</v>
      </c>
      <c r="F16" s="9">
        <v>101.8363834380595</v>
      </c>
      <c r="G16" s="9">
        <v>86.715148240872338</v>
      </c>
      <c r="H16" s="9">
        <v>116.95761863524666</v>
      </c>
      <c r="I16" s="9">
        <v>23.1</v>
      </c>
    </row>
    <row r="17" spans="1:9" x14ac:dyDescent="0.3">
      <c r="A17" s="9">
        <v>16</v>
      </c>
      <c r="B17" s="9">
        <v>-8.7862892620340887</v>
      </c>
      <c r="C17" s="9">
        <v>-0.46521398466647917</v>
      </c>
      <c r="D17" s="9">
        <v>-0.45351921138611284</v>
      </c>
      <c r="E17" s="9">
        <v>54</v>
      </c>
      <c r="F17" s="9">
        <v>62.786289262034089</v>
      </c>
      <c r="G17" s="9">
        <v>48.497927065448692</v>
      </c>
      <c r="H17" s="9">
        <v>77.074651458619485</v>
      </c>
      <c r="I17" s="9">
        <v>1.9</v>
      </c>
    </row>
    <row r="18" spans="1:9" x14ac:dyDescent="0.3">
      <c r="A18" s="9">
        <v>17</v>
      </c>
      <c r="B18" s="9">
        <v>59.348269936879447</v>
      </c>
      <c r="C18" s="9">
        <v>3.2710145372818924</v>
      </c>
      <c r="D18" s="9">
        <v>5.5026407928951127</v>
      </c>
      <c r="E18" s="9">
        <v>168</v>
      </c>
      <c r="F18" s="9">
        <v>108.65173006312055</v>
      </c>
      <c r="G18" s="9">
        <v>90.547023061865701</v>
      </c>
      <c r="H18" s="9">
        <v>126.7564370643754</v>
      </c>
      <c r="I18" s="9">
        <v>26.8</v>
      </c>
    </row>
    <row r="19" spans="1:9" x14ac:dyDescent="0.3">
      <c r="A19" s="9">
        <v>18</v>
      </c>
      <c r="B19" s="9">
        <v>-15.361885343577072</v>
      </c>
      <c r="C19" s="9">
        <v>-0.87834842227902188</v>
      </c>
      <c r="D19" s="9">
        <v>-0.87173369595113148</v>
      </c>
      <c r="E19" s="9">
        <v>99</v>
      </c>
      <c r="F19" s="9">
        <v>114.36188534357707</v>
      </c>
      <c r="G19" s="9">
        <v>93.564352850962266</v>
      </c>
      <c r="H19" s="9">
        <v>135.15941783619189</v>
      </c>
      <c r="I19" s="9">
        <v>29.9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2760-1A50-4F6C-BE7C-24386990F362}">
  <dimension ref="A1:D18"/>
  <sheetViews>
    <sheetView workbookViewId="0"/>
  </sheetViews>
  <sheetFormatPr defaultRowHeight="16.5" x14ac:dyDescent="0.3"/>
  <sheetData>
    <row r="1" spans="1:4" x14ac:dyDescent="0.3">
      <c r="A1" s="9">
        <v>0.3</v>
      </c>
      <c r="B1" s="9">
        <v>59.839112343088765</v>
      </c>
      <c r="C1" s="9">
        <v>44.351467839048127</v>
      </c>
      <c r="D1" s="9">
        <v>75.326756847129403</v>
      </c>
    </row>
    <row r="2" spans="1:4" x14ac:dyDescent="0.3">
      <c r="A2" s="9">
        <v>0.4</v>
      </c>
      <c r="B2" s="9">
        <v>60.02331090052283</v>
      </c>
      <c r="C2" s="9">
        <v>44.61289776906856</v>
      </c>
      <c r="D2" s="9">
        <v>75.433724031977093</v>
      </c>
    </row>
    <row r="3" spans="1:4" x14ac:dyDescent="0.3">
      <c r="A3" s="9">
        <v>0.6</v>
      </c>
      <c r="B3" s="9">
        <v>60.391708015391011</v>
      </c>
      <c r="C3" s="9">
        <v>45.134905995006051</v>
      </c>
      <c r="D3" s="9">
        <v>75.648510035775971</v>
      </c>
    </row>
    <row r="4" spans="1:4" x14ac:dyDescent="0.3">
      <c r="A4" s="9">
        <v>1.7</v>
      </c>
      <c r="B4" s="9">
        <v>62.417892147165908</v>
      </c>
      <c r="C4" s="9">
        <v>47.984155755170534</v>
      </c>
      <c r="D4" s="9">
        <v>76.851628539161283</v>
      </c>
    </row>
    <row r="5" spans="1:4" x14ac:dyDescent="0.3">
      <c r="A5" s="9">
        <v>1.9</v>
      </c>
      <c r="B5" s="9">
        <v>62.786289262034089</v>
      </c>
      <c r="C5" s="9">
        <v>48.497927065448692</v>
      </c>
      <c r="D5" s="9">
        <v>77.074651458619485</v>
      </c>
    </row>
    <row r="6" spans="1:4" x14ac:dyDescent="0.3">
      <c r="A6" s="9">
        <v>3.1</v>
      </c>
      <c r="B6" s="9">
        <v>64.996671951243059</v>
      </c>
      <c r="C6" s="9">
        <v>51.54920939861838</v>
      </c>
      <c r="D6" s="9">
        <v>78.44413450386773</v>
      </c>
    </row>
    <row r="7" spans="1:4" x14ac:dyDescent="0.3">
      <c r="A7" s="9">
        <v>4.7</v>
      </c>
      <c r="B7" s="9">
        <v>67.943848870188376</v>
      </c>
      <c r="C7" s="9">
        <v>55.520109495797406</v>
      </c>
      <c r="D7" s="9">
        <v>80.367588244579338</v>
      </c>
    </row>
    <row r="8" spans="1:4" x14ac:dyDescent="0.3">
      <c r="A8" s="9">
        <v>9.4</v>
      </c>
      <c r="B8" s="9">
        <v>76.601181069590226</v>
      </c>
      <c r="C8" s="9">
        <v>66.255402345201745</v>
      </c>
      <c r="D8" s="9">
        <v>86.946959793978706</v>
      </c>
    </row>
    <row r="9" spans="1:4" x14ac:dyDescent="0.3">
      <c r="A9" s="9">
        <v>10.1</v>
      </c>
      <c r="B9" s="9">
        <v>77.890570971628819</v>
      </c>
      <c r="C9" s="9">
        <v>67.698412355035671</v>
      </c>
      <c r="D9" s="9">
        <v>88.082729588221966</v>
      </c>
    </row>
    <row r="10" spans="1:4" x14ac:dyDescent="0.3">
      <c r="A10" s="9">
        <v>10.9</v>
      </c>
      <c r="B10" s="9">
        <v>79.364159431101484</v>
      </c>
      <c r="C10" s="9">
        <v>69.288951577336064</v>
      </c>
      <c r="D10" s="9">
        <v>89.439367284866904</v>
      </c>
    </row>
    <row r="11" spans="1:4" x14ac:dyDescent="0.3">
      <c r="A11" s="9">
        <v>11.6</v>
      </c>
      <c r="B11" s="9">
        <v>80.653549333140035</v>
      </c>
      <c r="C11" s="9">
        <v>70.627739814768915</v>
      </c>
      <c r="D11" s="9">
        <v>90.679358851511154</v>
      </c>
    </row>
    <row r="12" spans="1:4" x14ac:dyDescent="0.3">
      <c r="A12" s="9">
        <v>12.6</v>
      </c>
      <c r="B12" s="9">
        <v>82.495534907480874</v>
      </c>
      <c r="C12" s="9">
        <v>72.453194306923862</v>
      </c>
      <c r="D12" s="9">
        <v>92.537875508037885</v>
      </c>
    </row>
    <row r="13" spans="1:4" x14ac:dyDescent="0.3">
      <c r="A13" s="9">
        <v>21.6</v>
      </c>
      <c r="B13" s="9">
        <v>99.073405076548269</v>
      </c>
      <c r="C13" s="9">
        <v>85.05573573029605</v>
      </c>
      <c r="D13" s="9">
        <v>113.09107442280049</v>
      </c>
    </row>
    <row r="14" spans="1:4" x14ac:dyDescent="0.3">
      <c r="A14" s="9">
        <v>23.1</v>
      </c>
      <c r="B14" s="9">
        <v>101.8363834380595</v>
      </c>
      <c r="C14" s="9">
        <v>86.715148240872338</v>
      </c>
      <c r="D14" s="9">
        <v>116.95761863524666</v>
      </c>
    </row>
    <row r="15" spans="1:4" x14ac:dyDescent="0.3">
      <c r="A15" s="9">
        <v>23.1</v>
      </c>
      <c r="B15" s="9">
        <v>101.8363834380595</v>
      </c>
      <c r="C15" s="9">
        <v>86.715148240872338</v>
      </c>
      <c r="D15" s="9">
        <v>116.95761863524666</v>
      </c>
    </row>
    <row r="16" spans="1:4" x14ac:dyDescent="0.3">
      <c r="A16" s="9">
        <v>23.1</v>
      </c>
      <c r="B16" s="9">
        <v>101.8363834380595</v>
      </c>
      <c r="C16" s="9">
        <v>86.715148240872338</v>
      </c>
      <c r="D16" s="9">
        <v>116.95761863524666</v>
      </c>
    </row>
    <row r="17" spans="1:4" x14ac:dyDescent="0.3">
      <c r="A17" s="9">
        <v>26.8</v>
      </c>
      <c r="B17" s="9">
        <v>108.65173006312055</v>
      </c>
      <c r="C17" s="9">
        <v>90.547023061865701</v>
      </c>
      <c r="D17" s="9">
        <v>126.7564370643754</v>
      </c>
    </row>
    <row r="18" spans="1:4" x14ac:dyDescent="0.3">
      <c r="A18" s="9">
        <v>29.9</v>
      </c>
      <c r="B18" s="9">
        <v>114.36188534357707</v>
      </c>
      <c r="C18" s="9">
        <v>93.564352850962266</v>
      </c>
      <c r="D18" s="9">
        <v>135.15941783619189</v>
      </c>
    </row>
  </sheetData>
  <sortState xmlns:xlrd2="http://schemas.microsoft.com/office/spreadsheetml/2017/richdata2" ref="A1:D18">
    <sortCondition ref="A1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7652-305A-4DB7-B6CB-9F342A0E437D}">
  <dimension ref="A1:G19"/>
  <sheetViews>
    <sheetView workbookViewId="0">
      <selection activeCell="F23" sqref="F23"/>
    </sheetView>
  </sheetViews>
  <sheetFormatPr defaultRowHeight="16.5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>
        <v>0.3</v>
      </c>
      <c r="B2">
        <v>53</v>
      </c>
      <c r="C2">
        <v>64</v>
      </c>
    </row>
    <row r="3" spans="1:3" x14ac:dyDescent="0.3">
      <c r="A3">
        <v>0.4</v>
      </c>
      <c r="B3">
        <v>23</v>
      </c>
      <c r="C3">
        <v>60</v>
      </c>
    </row>
    <row r="4" spans="1:3" x14ac:dyDescent="0.3">
      <c r="A4">
        <v>3.1</v>
      </c>
      <c r="B4">
        <v>19</v>
      </c>
      <c r="C4">
        <v>71</v>
      </c>
    </row>
    <row r="5" spans="1:3" x14ac:dyDescent="0.3">
      <c r="A5">
        <v>0.6</v>
      </c>
      <c r="B5">
        <v>34</v>
      </c>
      <c r="C5">
        <v>61</v>
      </c>
    </row>
    <row r="6" spans="1:3" x14ac:dyDescent="0.3">
      <c r="A6">
        <v>4.7</v>
      </c>
      <c r="B6">
        <v>24</v>
      </c>
      <c r="C6">
        <v>54</v>
      </c>
    </row>
    <row r="7" spans="1:3" x14ac:dyDescent="0.3">
      <c r="A7">
        <v>1.7</v>
      </c>
      <c r="B7">
        <v>65</v>
      </c>
      <c r="C7">
        <v>77</v>
      </c>
    </row>
    <row r="8" spans="1:3" x14ac:dyDescent="0.3">
      <c r="A8">
        <v>9.4</v>
      </c>
      <c r="B8">
        <v>44</v>
      </c>
      <c r="C8">
        <v>81</v>
      </c>
    </row>
    <row r="9" spans="1:3" x14ac:dyDescent="0.3">
      <c r="A9">
        <v>10.1</v>
      </c>
      <c r="B9">
        <v>31</v>
      </c>
      <c r="C9">
        <v>93</v>
      </c>
    </row>
    <row r="10" spans="1:3" x14ac:dyDescent="0.3">
      <c r="A10">
        <v>11.6</v>
      </c>
      <c r="B10">
        <v>29</v>
      </c>
      <c r="C10">
        <v>93</v>
      </c>
    </row>
    <row r="11" spans="1:3" x14ac:dyDescent="0.3">
      <c r="A11">
        <v>12.6</v>
      </c>
      <c r="B11">
        <v>58</v>
      </c>
      <c r="C11">
        <v>51</v>
      </c>
    </row>
    <row r="12" spans="1:3" x14ac:dyDescent="0.3">
      <c r="A12">
        <v>10.9</v>
      </c>
      <c r="B12">
        <v>37</v>
      </c>
      <c r="C12">
        <v>76</v>
      </c>
    </row>
    <row r="13" spans="1:3" x14ac:dyDescent="0.3">
      <c r="A13">
        <v>23.1</v>
      </c>
      <c r="B13">
        <v>46</v>
      </c>
      <c r="C13">
        <v>96</v>
      </c>
    </row>
    <row r="14" spans="1:3" x14ac:dyDescent="0.3">
      <c r="A14">
        <v>23.1</v>
      </c>
      <c r="B14">
        <v>50</v>
      </c>
      <c r="C14">
        <v>77</v>
      </c>
    </row>
    <row r="15" spans="1:3" x14ac:dyDescent="0.3">
      <c r="A15">
        <v>21.6</v>
      </c>
      <c r="B15">
        <v>44</v>
      </c>
      <c r="C15">
        <v>93</v>
      </c>
    </row>
    <row r="16" spans="1:3" x14ac:dyDescent="0.3">
      <c r="A16">
        <v>23.1</v>
      </c>
      <c r="B16">
        <v>56</v>
      </c>
      <c r="C16">
        <v>95</v>
      </c>
    </row>
    <row r="17" spans="1:7" x14ac:dyDescent="0.3">
      <c r="A17">
        <v>1.9</v>
      </c>
      <c r="B17">
        <v>36</v>
      </c>
      <c r="C17">
        <v>54</v>
      </c>
      <c r="E17" t="s">
        <v>26</v>
      </c>
      <c r="F17" t="s">
        <v>27</v>
      </c>
      <c r="G17">
        <f>CORREL(A2:A19, C2:C19)</f>
        <v>0.6933155376099096</v>
      </c>
    </row>
    <row r="18" spans="1:7" x14ac:dyDescent="0.3">
      <c r="A18">
        <v>26.8</v>
      </c>
      <c r="B18">
        <v>58</v>
      </c>
      <c r="C18">
        <v>168</v>
      </c>
      <c r="F18" t="s">
        <v>28</v>
      </c>
      <c r="G18">
        <f>CORREL(B2:B19, C2:C19)</f>
        <v>0.3544661807179757</v>
      </c>
    </row>
    <row r="19" spans="1:7" x14ac:dyDescent="0.3">
      <c r="A19">
        <v>29.9</v>
      </c>
      <c r="B19">
        <v>51</v>
      </c>
      <c r="C19">
        <v>99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0637-BD7B-48F6-98C5-5A7BA2593F68}">
  <dimension ref="A1:B10"/>
  <sheetViews>
    <sheetView workbookViewId="0">
      <selection activeCell="C1" sqref="C1"/>
    </sheetView>
  </sheetViews>
  <sheetFormatPr defaultRowHeight="16.5" x14ac:dyDescent="0.3"/>
  <sheetData>
    <row r="1" spans="1:2" x14ac:dyDescent="0.3">
      <c r="A1" t="s">
        <v>43</v>
      </c>
      <c r="B1" t="s">
        <v>44</v>
      </c>
    </row>
    <row r="2" spans="1:2" x14ac:dyDescent="0.3">
      <c r="A2">
        <v>32</v>
      </c>
      <c r="B2">
        <v>35</v>
      </c>
    </row>
    <row r="3" spans="1:2" x14ac:dyDescent="0.3">
      <c r="A3">
        <v>37</v>
      </c>
      <c r="B3">
        <v>31</v>
      </c>
    </row>
    <row r="4" spans="1:2" x14ac:dyDescent="0.3">
      <c r="A4">
        <v>35</v>
      </c>
      <c r="B4">
        <v>29</v>
      </c>
    </row>
    <row r="5" spans="1:2" x14ac:dyDescent="0.3">
      <c r="A5">
        <v>28</v>
      </c>
      <c r="B5">
        <v>25</v>
      </c>
    </row>
    <row r="6" spans="1:2" x14ac:dyDescent="0.3">
      <c r="A6">
        <v>41</v>
      </c>
      <c r="B6">
        <v>34</v>
      </c>
    </row>
    <row r="7" spans="1:2" x14ac:dyDescent="0.3">
      <c r="A7">
        <v>44</v>
      </c>
      <c r="B7">
        <v>40</v>
      </c>
    </row>
    <row r="8" spans="1:2" x14ac:dyDescent="0.3">
      <c r="A8">
        <v>35</v>
      </c>
      <c r="B8">
        <v>27</v>
      </c>
    </row>
    <row r="9" spans="1:2" x14ac:dyDescent="0.3">
      <c r="A9">
        <v>31</v>
      </c>
      <c r="B9">
        <v>32</v>
      </c>
    </row>
    <row r="10" spans="1:2" x14ac:dyDescent="0.3">
      <c r="A10">
        <v>34</v>
      </c>
      <c r="B10">
        <v>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9574-2A77-4FCF-A511-B879A2B2E732}">
  <dimension ref="A1:F211"/>
  <sheetViews>
    <sheetView workbookViewId="0"/>
  </sheetViews>
  <sheetFormatPr defaultRowHeight="16.5" x14ac:dyDescent="0.3"/>
  <sheetData>
    <row r="1" spans="1:6" x14ac:dyDescent="0.3">
      <c r="A1">
        <v>211</v>
      </c>
    </row>
    <row r="6" spans="1:6" x14ac:dyDescent="0.3">
      <c r="A6">
        <v>2</v>
      </c>
      <c r="B6">
        <v>2</v>
      </c>
    </row>
    <row r="7" spans="1:6" x14ac:dyDescent="0.3">
      <c r="A7">
        <v>46.8</v>
      </c>
      <c r="B7">
        <v>50.25</v>
      </c>
    </row>
    <row r="8" spans="1:6" x14ac:dyDescent="0.3">
      <c r="A8">
        <v>2</v>
      </c>
      <c r="B8">
        <v>2</v>
      </c>
    </row>
    <row r="9" spans="1:6" x14ac:dyDescent="0.3">
      <c r="A9">
        <v>56.875</v>
      </c>
      <c r="B9">
        <v>58</v>
      </c>
    </row>
    <row r="10" spans="1:6" x14ac:dyDescent="0.3">
      <c r="A10">
        <v>2</v>
      </c>
      <c r="B10">
        <v>3</v>
      </c>
      <c r="C10">
        <v>3</v>
      </c>
      <c r="D10">
        <v>1</v>
      </c>
      <c r="E10">
        <v>1</v>
      </c>
      <c r="F10">
        <v>2</v>
      </c>
    </row>
    <row r="11" spans="1:6" x14ac:dyDescent="0.3">
      <c r="A11">
        <v>50.25</v>
      </c>
      <c r="B11">
        <v>50.25</v>
      </c>
      <c r="C11">
        <v>56.875</v>
      </c>
      <c r="D11">
        <v>56.875</v>
      </c>
      <c r="E11">
        <v>50.25</v>
      </c>
      <c r="F11">
        <v>50.25</v>
      </c>
    </row>
    <row r="12" spans="1:6" x14ac:dyDescent="0.3">
      <c r="A12">
        <v>1</v>
      </c>
      <c r="B12">
        <v>3</v>
      </c>
    </row>
    <row r="13" spans="1:6" x14ac:dyDescent="0.3">
      <c r="A13">
        <v>53.950000762939453</v>
      </c>
      <c r="B13">
        <v>53.950000762939453</v>
      </c>
    </row>
    <row r="14" spans="1:6" x14ac:dyDescent="0.3">
      <c r="A14">
        <v>2</v>
      </c>
      <c r="B14">
        <v>2</v>
      </c>
    </row>
    <row r="15" spans="1:6" x14ac:dyDescent="0.3">
      <c r="A15">
        <v>46.8</v>
      </c>
      <c r="B15">
        <v>58</v>
      </c>
    </row>
    <row r="20" spans="1:6" x14ac:dyDescent="0.3">
      <c r="A20">
        <v>5</v>
      </c>
      <c r="B20">
        <v>5</v>
      </c>
    </row>
    <row r="21" spans="1:6" x14ac:dyDescent="0.3">
      <c r="A21">
        <v>51.2</v>
      </c>
      <c r="B21">
        <v>56.674999237060547</v>
      </c>
    </row>
    <row r="22" spans="1:6" x14ac:dyDescent="0.3">
      <c r="A22">
        <v>5</v>
      </c>
      <c r="B22">
        <v>5</v>
      </c>
    </row>
    <row r="23" spans="1:6" x14ac:dyDescent="0.3">
      <c r="A23">
        <v>62.025001525878906</v>
      </c>
      <c r="B23">
        <v>62.4</v>
      </c>
    </row>
    <row r="24" spans="1:6" x14ac:dyDescent="0.3">
      <c r="A24">
        <v>5</v>
      </c>
      <c r="B24">
        <v>6</v>
      </c>
      <c r="C24">
        <v>6</v>
      </c>
      <c r="D24">
        <v>4</v>
      </c>
      <c r="E24">
        <v>4</v>
      </c>
      <c r="F24">
        <v>5</v>
      </c>
    </row>
    <row r="25" spans="1:6" x14ac:dyDescent="0.3">
      <c r="A25">
        <v>56.674999237060547</v>
      </c>
      <c r="B25">
        <v>56.674999237060547</v>
      </c>
      <c r="C25">
        <v>62.025001525878906</v>
      </c>
      <c r="D25">
        <v>62.025001525878906</v>
      </c>
      <c r="E25">
        <v>56.674999237060547</v>
      </c>
      <c r="F25">
        <v>56.674999237060547</v>
      </c>
    </row>
    <row r="26" spans="1:6" x14ac:dyDescent="0.3">
      <c r="A26">
        <v>4</v>
      </c>
      <c r="B26">
        <v>6</v>
      </c>
    </row>
    <row r="27" spans="1:6" x14ac:dyDescent="0.3">
      <c r="A27">
        <v>60.200000762939453</v>
      </c>
      <c r="B27">
        <v>60.200000762939453</v>
      </c>
    </row>
    <row r="28" spans="1:6" x14ac:dyDescent="0.3">
      <c r="A28">
        <v>5</v>
      </c>
      <c r="B28">
        <v>5</v>
      </c>
    </row>
    <row r="29" spans="1:6" x14ac:dyDescent="0.3">
      <c r="A29">
        <v>51.2</v>
      </c>
      <c r="B29">
        <v>62.4</v>
      </c>
    </row>
    <row r="34" spans="1:6" x14ac:dyDescent="0.3">
      <c r="A34">
        <v>8</v>
      </c>
      <c r="B34">
        <v>8</v>
      </c>
    </row>
    <row r="35" spans="1:6" x14ac:dyDescent="0.3">
      <c r="A35">
        <v>45.2</v>
      </c>
      <c r="B35">
        <v>47.900001525878906</v>
      </c>
    </row>
    <row r="36" spans="1:6" x14ac:dyDescent="0.3">
      <c r="A36">
        <v>8</v>
      </c>
      <c r="B36">
        <v>8</v>
      </c>
    </row>
    <row r="37" spans="1:6" x14ac:dyDescent="0.3">
      <c r="A37">
        <v>49.900001525878906</v>
      </c>
      <c r="B37">
        <v>50.2</v>
      </c>
    </row>
    <row r="38" spans="1:6" x14ac:dyDescent="0.3">
      <c r="A38">
        <v>8</v>
      </c>
      <c r="B38">
        <v>9</v>
      </c>
      <c r="C38">
        <v>9</v>
      </c>
      <c r="D38">
        <v>7</v>
      </c>
      <c r="E38">
        <v>7</v>
      </c>
      <c r="F38">
        <v>8</v>
      </c>
    </row>
    <row r="39" spans="1:6" x14ac:dyDescent="0.3">
      <c r="A39">
        <v>47.900001525878906</v>
      </c>
      <c r="B39">
        <v>47.900001525878906</v>
      </c>
      <c r="C39">
        <v>49.900001525878906</v>
      </c>
      <c r="D39">
        <v>49.900001525878906</v>
      </c>
      <c r="E39">
        <v>47.900001525878906</v>
      </c>
      <c r="F39">
        <v>47.900001525878906</v>
      </c>
    </row>
    <row r="40" spans="1:6" x14ac:dyDescent="0.3">
      <c r="A40">
        <v>7</v>
      </c>
      <c r="B40">
        <v>9</v>
      </c>
    </row>
    <row r="41" spans="1:6" x14ac:dyDescent="0.3">
      <c r="A41">
        <v>49.299999237060547</v>
      </c>
      <c r="B41">
        <v>49.299999237060547</v>
      </c>
    </row>
    <row r="42" spans="1:6" x14ac:dyDescent="0.3">
      <c r="A42">
        <v>8</v>
      </c>
      <c r="B42">
        <v>8</v>
      </c>
    </row>
    <row r="43" spans="1:6" x14ac:dyDescent="0.3">
      <c r="A43">
        <v>45.2</v>
      </c>
      <c r="B43">
        <v>50.2</v>
      </c>
    </row>
    <row r="48" spans="1:6" x14ac:dyDescent="0.3">
      <c r="A48">
        <v>11</v>
      </c>
      <c r="B48">
        <v>11</v>
      </c>
    </row>
    <row r="49" spans="1:6" x14ac:dyDescent="0.3">
      <c r="A49">
        <v>35.9</v>
      </c>
      <c r="B49">
        <v>39.575000762939453</v>
      </c>
    </row>
    <row r="50" spans="1:6" x14ac:dyDescent="0.3">
      <c r="A50">
        <v>11</v>
      </c>
      <c r="B50">
        <v>11</v>
      </c>
    </row>
    <row r="51" spans="1:6" x14ac:dyDescent="0.3">
      <c r="A51">
        <v>42.724998474121094</v>
      </c>
      <c r="B51">
        <v>45.5</v>
      </c>
    </row>
    <row r="52" spans="1:6" x14ac:dyDescent="0.3">
      <c r="A52">
        <v>11</v>
      </c>
      <c r="B52">
        <v>12</v>
      </c>
      <c r="C52">
        <v>12</v>
      </c>
      <c r="D52">
        <v>10</v>
      </c>
      <c r="E52">
        <v>10</v>
      </c>
      <c r="F52">
        <v>11</v>
      </c>
    </row>
    <row r="53" spans="1:6" x14ac:dyDescent="0.3">
      <c r="A53">
        <v>39.575000762939453</v>
      </c>
      <c r="B53">
        <v>39.575000762939453</v>
      </c>
      <c r="C53">
        <v>42.724998474121094</v>
      </c>
      <c r="D53">
        <v>42.724998474121094</v>
      </c>
      <c r="E53">
        <v>39.575000762939453</v>
      </c>
      <c r="F53">
        <v>39.575000762939453</v>
      </c>
    </row>
    <row r="54" spans="1:6" x14ac:dyDescent="0.3">
      <c r="A54">
        <v>10</v>
      </c>
      <c r="B54">
        <v>12</v>
      </c>
    </row>
    <row r="55" spans="1:6" x14ac:dyDescent="0.3">
      <c r="A55">
        <v>41.299999237060547</v>
      </c>
      <c r="B55">
        <v>41.299999237060547</v>
      </c>
    </row>
    <row r="56" spans="1:6" x14ac:dyDescent="0.3">
      <c r="A56">
        <v>11</v>
      </c>
      <c r="B56">
        <v>11</v>
      </c>
    </row>
    <row r="57" spans="1:6" x14ac:dyDescent="0.3">
      <c r="A57">
        <v>35.9</v>
      </c>
      <c r="B57">
        <v>45.5</v>
      </c>
    </row>
    <row r="62" spans="1:6" x14ac:dyDescent="0.3">
      <c r="A62">
        <v>14</v>
      </c>
      <c r="B62">
        <v>14</v>
      </c>
    </row>
    <row r="63" spans="1:6" x14ac:dyDescent="0.3">
      <c r="A63">
        <v>25.8</v>
      </c>
      <c r="B63">
        <v>28.350000381469727</v>
      </c>
    </row>
    <row r="64" spans="1:6" x14ac:dyDescent="0.3">
      <c r="A64">
        <v>14</v>
      </c>
      <c r="B64">
        <v>14</v>
      </c>
    </row>
    <row r="65" spans="1:6" x14ac:dyDescent="0.3">
      <c r="A65">
        <v>30.75</v>
      </c>
      <c r="B65">
        <v>32.4</v>
      </c>
    </row>
    <row r="66" spans="1:6" x14ac:dyDescent="0.3">
      <c r="A66">
        <v>14</v>
      </c>
      <c r="B66">
        <v>15</v>
      </c>
      <c r="C66">
        <v>15</v>
      </c>
      <c r="D66">
        <v>13</v>
      </c>
      <c r="E66">
        <v>13</v>
      </c>
      <c r="F66">
        <v>14</v>
      </c>
    </row>
    <row r="67" spans="1:6" x14ac:dyDescent="0.3">
      <c r="A67">
        <v>28.350000381469727</v>
      </c>
      <c r="B67">
        <v>28.350000381469727</v>
      </c>
      <c r="C67">
        <v>30.75</v>
      </c>
      <c r="D67">
        <v>30.75</v>
      </c>
      <c r="E67">
        <v>28.350000381469727</v>
      </c>
      <c r="F67">
        <v>28.350000381469727</v>
      </c>
    </row>
    <row r="68" spans="1:6" x14ac:dyDescent="0.3">
      <c r="A68">
        <v>13</v>
      </c>
      <c r="B68">
        <v>15</v>
      </c>
    </row>
    <row r="69" spans="1:6" x14ac:dyDescent="0.3">
      <c r="A69">
        <v>29.700000762939453</v>
      </c>
      <c r="B69">
        <v>29.700000762939453</v>
      </c>
    </row>
    <row r="70" spans="1:6" x14ac:dyDescent="0.3">
      <c r="A70">
        <v>14</v>
      </c>
      <c r="B70">
        <v>14</v>
      </c>
    </row>
    <row r="71" spans="1:6" x14ac:dyDescent="0.3">
      <c r="A71">
        <v>25.8</v>
      </c>
      <c r="B71">
        <v>32.4</v>
      </c>
    </row>
    <row r="76" spans="1:6" x14ac:dyDescent="0.3">
      <c r="A76">
        <v>2</v>
      </c>
      <c r="B76">
        <v>2</v>
      </c>
    </row>
    <row r="77" spans="1:6" x14ac:dyDescent="0.3">
      <c r="A77">
        <v>46.8</v>
      </c>
      <c r="B77">
        <v>50.25</v>
      </c>
    </row>
    <row r="78" spans="1:6" x14ac:dyDescent="0.3">
      <c r="A78">
        <v>2</v>
      </c>
      <c r="B78">
        <v>2</v>
      </c>
    </row>
    <row r="79" spans="1:6" x14ac:dyDescent="0.3">
      <c r="A79">
        <v>56.875</v>
      </c>
      <c r="B79">
        <v>58</v>
      </c>
    </row>
    <row r="80" spans="1:6" x14ac:dyDescent="0.3">
      <c r="A80">
        <v>2</v>
      </c>
      <c r="B80">
        <v>3</v>
      </c>
      <c r="C80">
        <v>3</v>
      </c>
      <c r="D80">
        <v>1</v>
      </c>
      <c r="E80">
        <v>1</v>
      </c>
      <c r="F80">
        <v>2</v>
      </c>
    </row>
    <row r="81" spans="1:6" x14ac:dyDescent="0.3">
      <c r="A81">
        <v>50.25</v>
      </c>
      <c r="B81">
        <v>50.25</v>
      </c>
      <c r="C81">
        <v>56.875</v>
      </c>
      <c r="D81">
        <v>56.875</v>
      </c>
      <c r="E81">
        <v>50.25</v>
      </c>
      <c r="F81">
        <v>50.25</v>
      </c>
    </row>
    <row r="82" spans="1:6" x14ac:dyDescent="0.3">
      <c r="A82">
        <v>1</v>
      </c>
      <c r="B82">
        <v>3</v>
      </c>
    </row>
    <row r="83" spans="1:6" x14ac:dyDescent="0.3">
      <c r="A83">
        <v>53.950000762939453</v>
      </c>
      <c r="B83">
        <v>53.950000762939453</v>
      </c>
    </row>
    <row r="84" spans="1:6" x14ac:dyDescent="0.3">
      <c r="A84">
        <v>2</v>
      </c>
      <c r="B84">
        <v>2</v>
      </c>
    </row>
    <row r="85" spans="1:6" x14ac:dyDescent="0.3">
      <c r="A85">
        <v>46.8</v>
      </c>
      <c r="B85">
        <v>58</v>
      </c>
    </row>
    <row r="90" spans="1:6" x14ac:dyDescent="0.3">
      <c r="A90">
        <v>5</v>
      </c>
      <c r="B90">
        <v>5</v>
      </c>
    </row>
    <row r="91" spans="1:6" x14ac:dyDescent="0.3">
      <c r="A91">
        <v>51.2</v>
      </c>
      <c r="B91">
        <v>56.674999237060547</v>
      </c>
    </row>
    <row r="92" spans="1:6" x14ac:dyDescent="0.3">
      <c r="A92">
        <v>5</v>
      </c>
      <c r="B92">
        <v>5</v>
      </c>
    </row>
    <row r="93" spans="1:6" x14ac:dyDescent="0.3">
      <c r="A93">
        <v>62.025001525878906</v>
      </c>
      <c r="B93">
        <v>62.4</v>
      </c>
    </row>
    <row r="94" spans="1:6" x14ac:dyDescent="0.3">
      <c r="A94">
        <v>5</v>
      </c>
      <c r="B94">
        <v>6</v>
      </c>
      <c r="C94">
        <v>6</v>
      </c>
      <c r="D94">
        <v>4</v>
      </c>
      <c r="E94">
        <v>4</v>
      </c>
      <c r="F94">
        <v>5</v>
      </c>
    </row>
    <row r="95" spans="1:6" x14ac:dyDescent="0.3">
      <c r="A95">
        <v>56.674999237060547</v>
      </c>
      <c r="B95">
        <v>56.674999237060547</v>
      </c>
      <c r="C95">
        <v>62.025001525878906</v>
      </c>
      <c r="D95">
        <v>62.025001525878906</v>
      </c>
      <c r="E95">
        <v>56.674999237060547</v>
      </c>
      <c r="F95">
        <v>56.674999237060547</v>
      </c>
    </row>
    <row r="96" spans="1:6" x14ac:dyDescent="0.3">
      <c r="A96">
        <v>4</v>
      </c>
      <c r="B96">
        <v>6</v>
      </c>
    </row>
    <row r="97" spans="1:6" x14ac:dyDescent="0.3">
      <c r="A97">
        <v>60.200000762939453</v>
      </c>
      <c r="B97">
        <v>60.200000762939453</v>
      </c>
    </row>
    <row r="98" spans="1:6" x14ac:dyDescent="0.3">
      <c r="A98">
        <v>5</v>
      </c>
      <c r="B98">
        <v>5</v>
      </c>
    </row>
    <row r="99" spans="1:6" x14ac:dyDescent="0.3">
      <c r="A99">
        <v>51.2</v>
      </c>
      <c r="B99">
        <v>62.4</v>
      </c>
    </row>
    <row r="104" spans="1:6" x14ac:dyDescent="0.3">
      <c r="A104">
        <v>8</v>
      </c>
      <c r="B104">
        <v>8</v>
      </c>
    </row>
    <row r="105" spans="1:6" x14ac:dyDescent="0.3">
      <c r="A105">
        <v>45.2</v>
      </c>
      <c r="B105">
        <v>47.900001525878906</v>
      </c>
    </row>
    <row r="106" spans="1:6" x14ac:dyDescent="0.3">
      <c r="A106">
        <v>8</v>
      </c>
      <c r="B106">
        <v>8</v>
      </c>
    </row>
    <row r="107" spans="1:6" x14ac:dyDescent="0.3">
      <c r="A107">
        <v>49.900001525878906</v>
      </c>
      <c r="B107">
        <v>50.2</v>
      </c>
    </row>
    <row r="108" spans="1:6" x14ac:dyDescent="0.3">
      <c r="A108">
        <v>8</v>
      </c>
      <c r="B108">
        <v>9</v>
      </c>
      <c r="C108">
        <v>9</v>
      </c>
      <c r="D108">
        <v>7</v>
      </c>
      <c r="E108">
        <v>7</v>
      </c>
      <c r="F108">
        <v>8</v>
      </c>
    </row>
    <row r="109" spans="1:6" x14ac:dyDescent="0.3">
      <c r="A109">
        <v>47.900001525878906</v>
      </c>
      <c r="B109">
        <v>47.900001525878906</v>
      </c>
      <c r="C109">
        <v>49.900001525878906</v>
      </c>
      <c r="D109">
        <v>49.900001525878906</v>
      </c>
      <c r="E109">
        <v>47.900001525878906</v>
      </c>
      <c r="F109">
        <v>47.900001525878906</v>
      </c>
    </row>
    <row r="110" spans="1:6" x14ac:dyDescent="0.3">
      <c r="A110">
        <v>7</v>
      </c>
      <c r="B110">
        <v>9</v>
      </c>
    </row>
    <row r="111" spans="1:6" x14ac:dyDescent="0.3">
      <c r="A111">
        <v>49.299999237060547</v>
      </c>
      <c r="B111">
        <v>49.299999237060547</v>
      </c>
    </row>
    <row r="112" spans="1:6" x14ac:dyDescent="0.3">
      <c r="A112">
        <v>8</v>
      </c>
      <c r="B112">
        <v>8</v>
      </c>
    </row>
    <row r="113" spans="1:6" x14ac:dyDescent="0.3">
      <c r="A113">
        <v>45.2</v>
      </c>
      <c r="B113">
        <v>50.2</v>
      </c>
    </row>
    <row r="118" spans="1:6" x14ac:dyDescent="0.3">
      <c r="A118">
        <v>11</v>
      </c>
      <c r="B118">
        <v>11</v>
      </c>
    </row>
    <row r="119" spans="1:6" x14ac:dyDescent="0.3">
      <c r="A119">
        <v>35.9</v>
      </c>
      <c r="B119">
        <v>39.575000762939453</v>
      </c>
    </row>
    <row r="120" spans="1:6" x14ac:dyDescent="0.3">
      <c r="A120">
        <v>11</v>
      </c>
      <c r="B120">
        <v>11</v>
      </c>
    </row>
    <row r="121" spans="1:6" x14ac:dyDescent="0.3">
      <c r="A121">
        <v>42.724998474121094</v>
      </c>
      <c r="B121">
        <v>45.5</v>
      </c>
    </row>
    <row r="122" spans="1:6" x14ac:dyDescent="0.3">
      <c r="A122">
        <v>11</v>
      </c>
      <c r="B122">
        <v>12</v>
      </c>
      <c r="C122">
        <v>12</v>
      </c>
      <c r="D122">
        <v>10</v>
      </c>
      <c r="E122">
        <v>10</v>
      </c>
      <c r="F122">
        <v>11</v>
      </c>
    </row>
    <row r="123" spans="1:6" x14ac:dyDescent="0.3">
      <c r="A123">
        <v>39.575000762939453</v>
      </c>
      <c r="B123">
        <v>39.575000762939453</v>
      </c>
      <c r="C123">
        <v>42.724998474121094</v>
      </c>
      <c r="D123">
        <v>42.724998474121094</v>
      </c>
      <c r="E123">
        <v>39.575000762939453</v>
      </c>
      <c r="F123">
        <v>39.575000762939453</v>
      </c>
    </row>
    <row r="124" spans="1:6" x14ac:dyDescent="0.3">
      <c r="A124">
        <v>10</v>
      </c>
      <c r="B124">
        <v>12</v>
      </c>
    </row>
    <row r="125" spans="1:6" x14ac:dyDescent="0.3">
      <c r="A125">
        <v>41.299999237060547</v>
      </c>
      <c r="B125">
        <v>41.299999237060547</v>
      </c>
    </row>
    <row r="126" spans="1:6" x14ac:dyDescent="0.3">
      <c r="A126">
        <v>11</v>
      </c>
      <c r="B126">
        <v>11</v>
      </c>
    </row>
    <row r="127" spans="1:6" x14ac:dyDescent="0.3">
      <c r="A127">
        <v>35.9</v>
      </c>
      <c r="B127">
        <v>45.5</v>
      </c>
    </row>
    <row r="132" spans="1:6" x14ac:dyDescent="0.3">
      <c r="A132">
        <v>14</v>
      </c>
      <c r="B132">
        <v>14</v>
      </c>
    </row>
    <row r="133" spans="1:6" x14ac:dyDescent="0.3">
      <c r="A133">
        <v>25.8</v>
      </c>
      <c r="B133">
        <v>28.350000381469727</v>
      </c>
    </row>
    <row r="134" spans="1:6" x14ac:dyDescent="0.3">
      <c r="A134">
        <v>14</v>
      </c>
      <c r="B134">
        <v>14</v>
      </c>
    </row>
    <row r="135" spans="1:6" x14ac:dyDescent="0.3">
      <c r="A135">
        <v>30.75</v>
      </c>
      <c r="B135">
        <v>32.4</v>
      </c>
    </row>
    <row r="136" spans="1:6" x14ac:dyDescent="0.3">
      <c r="A136">
        <v>14</v>
      </c>
      <c r="B136">
        <v>15</v>
      </c>
      <c r="C136">
        <v>15</v>
      </c>
      <c r="D136">
        <v>13</v>
      </c>
      <c r="E136">
        <v>13</v>
      </c>
      <c r="F136">
        <v>14</v>
      </c>
    </row>
    <row r="137" spans="1:6" x14ac:dyDescent="0.3">
      <c r="A137">
        <v>28.350000381469727</v>
      </c>
      <c r="B137">
        <v>28.350000381469727</v>
      </c>
      <c r="C137">
        <v>30.75</v>
      </c>
      <c r="D137">
        <v>30.75</v>
      </c>
      <c r="E137">
        <v>28.350000381469727</v>
      </c>
      <c r="F137">
        <v>28.350000381469727</v>
      </c>
    </row>
    <row r="138" spans="1:6" x14ac:dyDescent="0.3">
      <c r="A138">
        <v>13</v>
      </c>
      <c r="B138">
        <v>15</v>
      </c>
    </row>
    <row r="139" spans="1:6" x14ac:dyDescent="0.3">
      <c r="A139">
        <v>29.700000762939453</v>
      </c>
      <c r="B139">
        <v>29.700000762939453</v>
      </c>
    </row>
    <row r="140" spans="1:6" x14ac:dyDescent="0.3">
      <c r="A140">
        <v>14</v>
      </c>
      <c r="B140">
        <v>14</v>
      </c>
    </row>
    <row r="141" spans="1:6" x14ac:dyDescent="0.3">
      <c r="A141">
        <v>25.8</v>
      </c>
      <c r="B141">
        <v>32.4</v>
      </c>
    </row>
    <row r="146" spans="1:6" x14ac:dyDescent="0.3">
      <c r="A146">
        <v>2</v>
      </c>
      <c r="B146">
        <v>2</v>
      </c>
    </row>
    <row r="147" spans="1:6" x14ac:dyDescent="0.3">
      <c r="A147">
        <v>46.8</v>
      </c>
      <c r="B147">
        <v>50.25</v>
      </c>
    </row>
    <row r="148" spans="1:6" x14ac:dyDescent="0.3">
      <c r="A148">
        <v>2</v>
      </c>
      <c r="B148">
        <v>2</v>
      </c>
    </row>
    <row r="149" spans="1:6" x14ac:dyDescent="0.3">
      <c r="A149">
        <v>56.875</v>
      </c>
      <c r="B149">
        <v>58</v>
      </c>
    </row>
    <row r="150" spans="1:6" x14ac:dyDescent="0.3">
      <c r="A150">
        <v>2</v>
      </c>
      <c r="B150">
        <v>3</v>
      </c>
      <c r="C150">
        <v>3</v>
      </c>
      <c r="D150">
        <v>1</v>
      </c>
      <c r="E150">
        <v>1</v>
      </c>
      <c r="F150">
        <v>2</v>
      </c>
    </row>
    <row r="151" spans="1:6" x14ac:dyDescent="0.3">
      <c r="A151">
        <v>50.25</v>
      </c>
      <c r="B151">
        <v>50.25</v>
      </c>
      <c r="C151">
        <v>56.875</v>
      </c>
      <c r="D151">
        <v>56.875</v>
      </c>
      <c r="E151">
        <v>50.25</v>
      </c>
      <c r="F151">
        <v>50.25</v>
      </c>
    </row>
    <row r="152" spans="1:6" x14ac:dyDescent="0.3">
      <c r="A152">
        <v>1</v>
      </c>
      <c r="B152">
        <v>3</v>
      </c>
    </row>
    <row r="153" spans="1:6" x14ac:dyDescent="0.3">
      <c r="A153">
        <v>53.950000762939453</v>
      </c>
      <c r="B153">
        <v>53.950000762939453</v>
      </c>
    </row>
    <row r="154" spans="1:6" x14ac:dyDescent="0.3">
      <c r="A154">
        <v>2</v>
      </c>
      <c r="B154">
        <v>2</v>
      </c>
    </row>
    <row r="155" spans="1:6" x14ac:dyDescent="0.3">
      <c r="A155">
        <v>46.8</v>
      </c>
      <c r="B155">
        <v>58</v>
      </c>
    </row>
    <row r="160" spans="1:6" x14ac:dyDescent="0.3">
      <c r="A160">
        <v>5</v>
      </c>
      <c r="B160">
        <v>5</v>
      </c>
    </row>
    <row r="161" spans="1:6" x14ac:dyDescent="0.3">
      <c r="A161">
        <v>51.2</v>
      </c>
      <c r="B161">
        <v>56.674999237060547</v>
      </c>
    </row>
    <row r="162" spans="1:6" x14ac:dyDescent="0.3">
      <c r="A162">
        <v>5</v>
      </c>
      <c r="B162">
        <v>5</v>
      </c>
    </row>
    <row r="163" spans="1:6" x14ac:dyDescent="0.3">
      <c r="A163">
        <v>62.025001525878906</v>
      </c>
      <c r="B163">
        <v>62.4</v>
      </c>
    </row>
    <row r="164" spans="1:6" x14ac:dyDescent="0.3">
      <c r="A164">
        <v>5</v>
      </c>
      <c r="B164">
        <v>6</v>
      </c>
      <c r="C164">
        <v>6</v>
      </c>
      <c r="D164">
        <v>4</v>
      </c>
      <c r="E164">
        <v>4</v>
      </c>
      <c r="F164">
        <v>5</v>
      </c>
    </row>
    <row r="165" spans="1:6" x14ac:dyDescent="0.3">
      <c r="A165">
        <v>56.674999237060547</v>
      </c>
      <c r="B165">
        <v>56.674999237060547</v>
      </c>
      <c r="C165">
        <v>62.025001525878906</v>
      </c>
      <c r="D165">
        <v>62.025001525878906</v>
      </c>
      <c r="E165">
        <v>56.674999237060547</v>
      </c>
      <c r="F165">
        <v>56.674999237060547</v>
      </c>
    </row>
    <row r="166" spans="1:6" x14ac:dyDescent="0.3">
      <c r="A166">
        <v>4</v>
      </c>
      <c r="B166">
        <v>6</v>
      </c>
    </row>
    <row r="167" spans="1:6" x14ac:dyDescent="0.3">
      <c r="A167">
        <v>60.200000762939453</v>
      </c>
      <c r="B167">
        <v>60.200000762939453</v>
      </c>
    </row>
    <row r="168" spans="1:6" x14ac:dyDescent="0.3">
      <c r="A168">
        <v>5</v>
      </c>
      <c r="B168">
        <v>5</v>
      </c>
    </row>
    <row r="169" spans="1:6" x14ac:dyDescent="0.3">
      <c r="A169">
        <v>51.2</v>
      </c>
      <c r="B169">
        <v>62.4</v>
      </c>
    </row>
    <row r="174" spans="1:6" x14ac:dyDescent="0.3">
      <c r="A174">
        <v>8</v>
      </c>
      <c r="B174">
        <v>8</v>
      </c>
    </row>
    <row r="175" spans="1:6" x14ac:dyDescent="0.3">
      <c r="A175">
        <v>45.2</v>
      </c>
      <c r="B175">
        <v>47.900001525878906</v>
      </c>
    </row>
    <row r="176" spans="1:6" x14ac:dyDescent="0.3">
      <c r="A176">
        <v>8</v>
      </c>
      <c r="B176">
        <v>8</v>
      </c>
    </row>
    <row r="177" spans="1:6" x14ac:dyDescent="0.3">
      <c r="A177">
        <v>49.900001525878906</v>
      </c>
      <c r="B177">
        <v>50.2</v>
      </c>
    </row>
    <row r="178" spans="1:6" x14ac:dyDescent="0.3">
      <c r="A178">
        <v>8</v>
      </c>
      <c r="B178">
        <v>9</v>
      </c>
      <c r="C178">
        <v>9</v>
      </c>
      <c r="D178">
        <v>7</v>
      </c>
      <c r="E178">
        <v>7</v>
      </c>
      <c r="F178">
        <v>8</v>
      </c>
    </row>
    <row r="179" spans="1:6" x14ac:dyDescent="0.3">
      <c r="A179">
        <v>47.900001525878906</v>
      </c>
      <c r="B179">
        <v>47.900001525878906</v>
      </c>
      <c r="C179">
        <v>49.900001525878906</v>
      </c>
      <c r="D179">
        <v>49.900001525878906</v>
      </c>
      <c r="E179">
        <v>47.900001525878906</v>
      </c>
      <c r="F179">
        <v>47.900001525878906</v>
      </c>
    </row>
    <row r="180" spans="1:6" x14ac:dyDescent="0.3">
      <c r="A180">
        <v>7</v>
      </c>
      <c r="B180">
        <v>9</v>
      </c>
    </row>
    <row r="181" spans="1:6" x14ac:dyDescent="0.3">
      <c r="A181">
        <v>49.299999237060547</v>
      </c>
      <c r="B181">
        <v>49.299999237060547</v>
      </c>
    </row>
    <row r="182" spans="1:6" x14ac:dyDescent="0.3">
      <c r="A182">
        <v>8</v>
      </c>
      <c r="B182">
        <v>8</v>
      </c>
    </row>
    <row r="183" spans="1:6" x14ac:dyDescent="0.3">
      <c r="A183">
        <v>45.2</v>
      </c>
      <c r="B183">
        <v>50.2</v>
      </c>
    </row>
    <row r="188" spans="1:6" x14ac:dyDescent="0.3">
      <c r="A188">
        <v>11</v>
      </c>
      <c r="B188">
        <v>11</v>
      </c>
    </row>
    <row r="189" spans="1:6" x14ac:dyDescent="0.3">
      <c r="A189">
        <v>35.9</v>
      </c>
      <c r="B189">
        <v>39.575000762939453</v>
      </c>
    </row>
    <row r="190" spans="1:6" x14ac:dyDescent="0.3">
      <c r="A190">
        <v>11</v>
      </c>
      <c r="B190">
        <v>11</v>
      </c>
    </row>
    <row r="191" spans="1:6" x14ac:dyDescent="0.3">
      <c r="A191">
        <v>42.724998474121094</v>
      </c>
      <c r="B191">
        <v>45.5</v>
      </c>
    </row>
    <row r="192" spans="1:6" x14ac:dyDescent="0.3">
      <c r="A192">
        <v>11</v>
      </c>
      <c r="B192">
        <v>12</v>
      </c>
      <c r="C192">
        <v>12</v>
      </c>
      <c r="D192">
        <v>10</v>
      </c>
      <c r="E192">
        <v>10</v>
      </c>
      <c r="F192">
        <v>11</v>
      </c>
    </row>
    <row r="193" spans="1:6" x14ac:dyDescent="0.3">
      <c r="A193">
        <v>39.575000762939453</v>
      </c>
      <c r="B193">
        <v>39.575000762939453</v>
      </c>
      <c r="C193">
        <v>42.724998474121094</v>
      </c>
      <c r="D193">
        <v>42.724998474121094</v>
      </c>
      <c r="E193">
        <v>39.575000762939453</v>
      </c>
      <c r="F193">
        <v>39.575000762939453</v>
      </c>
    </row>
    <row r="194" spans="1:6" x14ac:dyDescent="0.3">
      <c r="A194">
        <v>10</v>
      </c>
      <c r="B194">
        <v>12</v>
      </c>
    </row>
    <row r="195" spans="1:6" x14ac:dyDescent="0.3">
      <c r="A195">
        <v>41.299999237060547</v>
      </c>
      <c r="B195">
        <v>41.299999237060547</v>
      </c>
    </row>
    <row r="196" spans="1:6" x14ac:dyDescent="0.3">
      <c r="A196">
        <v>11</v>
      </c>
      <c r="B196">
        <v>11</v>
      </c>
    </row>
    <row r="197" spans="1:6" x14ac:dyDescent="0.3">
      <c r="A197">
        <v>35.9</v>
      </c>
      <c r="B197">
        <v>45.5</v>
      </c>
    </row>
    <row r="202" spans="1:6" x14ac:dyDescent="0.3">
      <c r="A202">
        <v>14</v>
      </c>
      <c r="B202">
        <v>14</v>
      </c>
    </row>
    <row r="203" spans="1:6" x14ac:dyDescent="0.3">
      <c r="A203">
        <v>25.8</v>
      </c>
      <c r="B203">
        <v>28.350000381469727</v>
      </c>
    </row>
    <row r="204" spans="1:6" x14ac:dyDescent="0.3">
      <c r="A204">
        <v>14</v>
      </c>
      <c r="B204">
        <v>14</v>
      </c>
    </row>
    <row r="205" spans="1:6" x14ac:dyDescent="0.3">
      <c r="A205">
        <v>30.75</v>
      </c>
      <c r="B205">
        <v>32.4</v>
      </c>
    </row>
    <row r="206" spans="1:6" x14ac:dyDescent="0.3">
      <c r="A206">
        <v>14</v>
      </c>
      <c r="B206">
        <v>15</v>
      </c>
      <c r="C206">
        <v>15</v>
      </c>
      <c r="D206">
        <v>13</v>
      </c>
      <c r="E206">
        <v>13</v>
      </c>
      <c r="F206">
        <v>14</v>
      </c>
    </row>
    <row r="207" spans="1:6" x14ac:dyDescent="0.3">
      <c r="A207">
        <v>28.350000381469727</v>
      </c>
      <c r="B207">
        <v>28.350000381469727</v>
      </c>
      <c r="C207">
        <v>30.75</v>
      </c>
      <c r="D207">
        <v>30.75</v>
      </c>
      <c r="E207">
        <v>28.350000381469727</v>
      </c>
      <c r="F207">
        <v>28.350000381469727</v>
      </c>
    </row>
    <row r="208" spans="1:6" x14ac:dyDescent="0.3">
      <c r="A208">
        <v>13</v>
      </c>
      <c r="B208">
        <v>15</v>
      </c>
    </row>
    <row r="209" spans="1:2" x14ac:dyDescent="0.3">
      <c r="A209">
        <v>29.700000762939453</v>
      </c>
      <c r="B209">
        <v>29.700000762939453</v>
      </c>
    </row>
    <row r="210" spans="1:2" x14ac:dyDescent="0.3">
      <c r="A210">
        <v>14</v>
      </c>
      <c r="B210">
        <v>14</v>
      </c>
    </row>
    <row r="211" spans="1:2" x14ac:dyDescent="0.3">
      <c r="A211">
        <v>25.8</v>
      </c>
      <c r="B211">
        <v>32.4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0DDC-EC0C-44A9-8F30-4C0B67910A1A}">
  <dimension ref="A1:G99"/>
  <sheetViews>
    <sheetView showGridLines="0" tabSelected="1" topLeftCell="A80" workbookViewId="0">
      <selection activeCell="J88" sqref="J88"/>
    </sheetView>
  </sheetViews>
  <sheetFormatPr defaultRowHeight="11.25" x14ac:dyDescent="0.3"/>
  <cols>
    <col min="1" max="16384" width="9" style="3"/>
  </cols>
  <sheetData>
    <row r="1" spans="1:5" hidden="1" x14ac:dyDescent="0.3">
      <c r="A1" s="4">
        <v>123</v>
      </c>
    </row>
    <row r="7" spans="1:5" ht="12" thickBot="1" x14ac:dyDescent="0.35">
      <c r="B7" s="7"/>
      <c r="C7" s="7" t="s">
        <v>18</v>
      </c>
      <c r="D7" s="7" t="s">
        <v>17</v>
      </c>
      <c r="E7" s="7" t="s">
        <v>19</v>
      </c>
    </row>
    <row r="8" spans="1:5" x14ac:dyDescent="0.3">
      <c r="B8" s="3" t="s">
        <v>45</v>
      </c>
      <c r="C8" s="3">
        <v>4</v>
      </c>
      <c r="D8" s="3">
        <v>53.174999999999997</v>
      </c>
      <c r="E8" s="3">
        <v>5.1032000000000002</v>
      </c>
    </row>
    <row r="9" spans="1:5" x14ac:dyDescent="0.3">
      <c r="B9" s="3" t="s">
        <v>47</v>
      </c>
      <c r="C9" s="3">
        <v>4</v>
      </c>
      <c r="D9" s="3">
        <v>58.5</v>
      </c>
      <c r="E9" s="3">
        <v>5.1658999999999997</v>
      </c>
    </row>
    <row r="10" spans="1:5" x14ac:dyDescent="0.3">
      <c r="B10" s="3" t="s">
        <v>49</v>
      </c>
      <c r="C10" s="3">
        <v>4</v>
      </c>
      <c r="D10" s="3">
        <v>48.5</v>
      </c>
      <c r="E10" s="3">
        <v>2.2774000000000001</v>
      </c>
    </row>
    <row r="11" spans="1:5" x14ac:dyDescent="0.3">
      <c r="B11" s="3" t="s">
        <v>51</v>
      </c>
      <c r="C11" s="3">
        <v>4</v>
      </c>
      <c r="D11" s="3">
        <v>41</v>
      </c>
      <c r="E11" s="3">
        <v>3.9556</v>
      </c>
    </row>
    <row r="12" spans="1:5" ht="12" thickBot="1" x14ac:dyDescent="0.35">
      <c r="B12" s="8" t="s">
        <v>53</v>
      </c>
      <c r="C12" s="8">
        <v>4</v>
      </c>
      <c r="D12" s="8">
        <v>29.4</v>
      </c>
      <c r="E12" s="8">
        <v>2.7471000000000001</v>
      </c>
    </row>
    <row r="17" spans="2:7" ht="12" thickBot="1" x14ac:dyDescent="0.35">
      <c r="B17" s="7" t="s">
        <v>55</v>
      </c>
      <c r="C17" s="7" t="s">
        <v>30</v>
      </c>
      <c r="D17" s="7" t="s">
        <v>20</v>
      </c>
      <c r="E17" s="7" t="s">
        <v>31</v>
      </c>
      <c r="F17" s="7" t="s">
        <v>56</v>
      </c>
      <c r="G17" s="7" t="s">
        <v>21</v>
      </c>
    </row>
    <row r="18" spans="2:7" x14ac:dyDescent="0.3">
      <c r="B18" s="3" t="s">
        <v>57</v>
      </c>
      <c r="C18" s="3">
        <v>18.007999999999999</v>
      </c>
      <c r="D18" s="3">
        <v>4</v>
      </c>
      <c r="E18" s="3">
        <v>4.5019999999999998</v>
      </c>
      <c r="F18" s="3">
        <v>0.96199999999999997</v>
      </c>
      <c r="G18" s="3">
        <v>0.45660000000000001</v>
      </c>
    </row>
    <row r="19" spans="2:7" ht="12" thickBot="1" x14ac:dyDescent="0.35">
      <c r="B19" s="8" t="s">
        <v>32</v>
      </c>
      <c r="C19" s="8">
        <v>70.194999999999993</v>
      </c>
      <c r="D19" s="8">
        <v>15</v>
      </c>
      <c r="E19" s="8">
        <v>4.6797000000000004</v>
      </c>
      <c r="F19" s="8"/>
      <c r="G19" s="8"/>
    </row>
    <row r="20" spans="2:7" x14ac:dyDescent="0.3">
      <c r="B20" s="5" t="s">
        <v>58</v>
      </c>
    </row>
    <row r="21" spans="2:7" x14ac:dyDescent="0.3">
      <c r="B21" s="5" t="s">
        <v>59</v>
      </c>
    </row>
    <row r="22" spans="2:7" x14ac:dyDescent="0.3">
      <c r="B22" s="5" t="s">
        <v>60</v>
      </c>
    </row>
    <row r="27" spans="2:7" ht="12" thickBot="1" x14ac:dyDescent="0.35">
      <c r="B27" s="7" t="s">
        <v>29</v>
      </c>
      <c r="C27" s="7" t="s">
        <v>30</v>
      </c>
      <c r="D27" s="7" t="s">
        <v>20</v>
      </c>
      <c r="E27" s="7" t="s">
        <v>31</v>
      </c>
      <c r="F27" s="7" t="s">
        <v>56</v>
      </c>
      <c r="G27" s="7" t="s">
        <v>21</v>
      </c>
    </row>
    <row r="28" spans="2:7" x14ac:dyDescent="0.3">
      <c r="B28" s="3" t="s">
        <v>57</v>
      </c>
      <c r="C28" s="3">
        <v>2057.8980000000001</v>
      </c>
      <c r="D28" s="3">
        <v>4</v>
      </c>
      <c r="E28" s="3">
        <v>514.47450000000003</v>
      </c>
      <c r="F28" s="3">
        <v>31.7149</v>
      </c>
      <c r="G28" s="3">
        <v>0</v>
      </c>
    </row>
    <row r="29" spans="2:7" ht="12" thickBot="1" x14ac:dyDescent="0.35">
      <c r="B29" s="3" t="s">
        <v>32</v>
      </c>
      <c r="C29" s="3">
        <v>243.32749999999999</v>
      </c>
      <c r="D29" s="3">
        <v>15</v>
      </c>
      <c r="E29" s="3">
        <v>16.221800000000002</v>
      </c>
    </row>
    <row r="30" spans="2:7" ht="12" thickBot="1" x14ac:dyDescent="0.35">
      <c r="B30" s="10" t="s">
        <v>33</v>
      </c>
      <c r="C30" s="10">
        <v>2301.2255</v>
      </c>
      <c r="D30" s="10">
        <v>19</v>
      </c>
      <c r="E30" s="10"/>
      <c r="F30" s="10"/>
      <c r="G30" s="10"/>
    </row>
    <row r="31" spans="2:7" x14ac:dyDescent="0.3">
      <c r="B31" s="5" t="s">
        <v>61</v>
      </c>
    </row>
    <row r="32" spans="2:7" x14ac:dyDescent="0.3">
      <c r="B32" s="5" t="s">
        <v>62</v>
      </c>
    </row>
    <row r="61" spans="2:5" ht="12" thickBot="1" x14ac:dyDescent="0.35">
      <c r="B61" s="7"/>
      <c r="C61" s="7" t="s">
        <v>18</v>
      </c>
      <c r="D61" s="7" t="s">
        <v>17</v>
      </c>
      <c r="E61" s="7" t="s">
        <v>19</v>
      </c>
    </row>
    <row r="62" spans="2:5" x14ac:dyDescent="0.3">
      <c r="B62" s="3" t="s">
        <v>45</v>
      </c>
      <c r="C62" s="3">
        <v>4</v>
      </c>
      <c r="D62" s="3">
        <v>53.174999999999997</v>
      </c>
      <c r="E62" s="3">
        <v>5.1032000000000002</v>
      </c>
    </row>
    <row r="63" spans="2:5" x14ac:dyDescent="0.3">
      <c r="B63" s="3" t="s">
        <v>47</v>
      </c>
      <c r="C63" s="3">
        <v>4</v>
      </c>
      <c r="D63" s="3">
        <v>58.5</v>
      </c>
      <c r="E63" s="3">
        <v>5.1658999999999997</v>
      </c>
    </row>
    <row r="64" spans="2:5" x14ac:dyDescent="0.3">
      <c r="B64" s="3" t="s">
        <v>49</v>
      </c>
      <c r="C64" s="3">
        <v>4</v>
      </c>
      <c r="D64" s="3">
        <v>48.5</v>
      </c>
      <c r="E64" s="3">
        <v>2.2774000000000001</v>
      </c>
    </row>
    <row r="65" spans="2:7" x14ac:dyDescent="0.3">
      <c r="B65" s="3" t="s">
        <v>51</v>
      </c>
      <c r="C65" s="3">
        <v>4</v>
      </c>
      <c r="D65" s="3">
        <v>41</v>
      </c>
      <c r="E65" s="3">
        <v>3.9556</v>
      </c>
    </row>
    <row r="66" spans="2:7" ht="12" thickBot="1" x14ac:dyDescent="0.35">
      <c r="B66" s="8" t="s">
        <v>53</v>
      </c>
      <c r="C66" s="8">
        <v>4</v>
      </c>
      <c r="D66" s="8">
        <v>29.4</v>
      </c>
      <c r="E66" s="8">
        <v>2.7471000000000001</v>
      </c>
    </row>
    <row r="71" spans="2:7" ht="12" thickBot="1" x14ac:dyDescent="0.35">
      <c r="B71" s="7" t="s">
        <v>55</v>
      </c>
      <c r="C71" s="7" t="s">
        <v>30</v>
      </c>
      <c r="D71" s="7" t="s">
        <v>20</v>
      </c>
      <c r="E71" s="7" t="s">
        <v>31</v>
      </c>
      <c r="F71" s="7" t="s">
        <v>56</v>
      </c>
      <c r="G71" s="7" t="s">
        <v>21</v>
      </c>
    </row>
    <row r="72" spans="2:7" x14ac:dyDescent="0.3">
      <c r="B72" s="3" t="s">
        <v>57</v>
      </c>
      <c r="C72" s="3">
        <v>18.007999999999999</v>
      </c>
      <c r="D72" s="3">
        <v>4</v>
      </c>
      <c r="E72" s="3">
        <v>4.5019999999999998</v>
      </c>
      <c r="F72" s="3">
        <v>0.96199999999999997</v>
      </c>
      <c r="G72" s="3">
        <v>0.45660000000000001</v>
      </c>
    </row>
    <row r="73" spans="2:7" ht="12" thickBot="1" x14ac:dyDescent="0.35">
      <c r="B73" s="8" t="s">
        <v>32</v>
      </c>
      <c r="C73" s="8">
        <v>70.194999999999993</v>
      </c>
      <c r="D73" s="8">
        <v>15</v>
      </c>
      <c r="E73" s="8">
        <v>4.6797000000000004</v>
      </c>
      <c r="F73" s="8"/>
      <c r="G73" s="8"/>
    </row>
    <row r="74" spans="2:7" x14ac:dyDescent="0.3">
      <c r="B74" s="5" t="s">
        <v>58</v>
      </c>
    </row>
    <row r="75" spans="2:7" x14ac:dyDescent="0.3">
      <c r="B75" s="5" t="s">
        <v>59</v>
      </c>
    </row>
    <row r="76" spans="2:7" x14ac:dyDescent="0.3">
      <c r="B76" s="5" t="s">
        <v>60</v>
      </c>
    </row>
    <row r="81" spans="2:7" ht="12" thickBot="1" x14ac:dyDescent="0.35">
      <c r="B81" s="7" t="s">
        <v>29</v>
      </c>
      <c r="C81" s="7" t="s">
        <v>30</v>
      </c>
      <c r="D81" s="7" t="s">
        <v>20</v>
      </c>
      <c r="E81" s="7" t="s">
        <v>31</v>
      </c>
      <c r="F81" s="7" t="s">
        <v>56</v>
      </c>
      <c r="G81" s="7" t="s">
        <v>21</v>
      </c>
    </row>
    <row r="82" spans="2:7" x14ac:dyDescent="0.3">
      <c r="B82" s="3" t="s">
        <v>57</v>
      </c>
      <c r="C82" s="3">
        <v>2057.8980000000001</v>
      </c>
      <c r="D82" s="3">
        <v>4</v>
      </c>
      <c r="E82" s="3">
        <v>514.47450000000003</v>
      </c>
      <c r="F82" s="3">
        <v>31.7149</v>
      </c>
      <c r="G82" s="3">
        <v>0</v>
      </c>
    </row>
    <row r="83" spans="2:7" ht="12" thickBot="1" x14ac:dyDescent="0.35">
      <c r="B83" s="3" t="s">
        <v>32</v>
      </c>
      <c r="C83" s="3">
        <v>243.32749999999999</v>
      </c>
      <c r="D83" s="3">
        <v>15</v>
      </c>
      <c r="E83" s="3">
        <v>16.221800000000002</v>
      </c>
    </row>
    <row r="84" spans="2:7" ht="12" thickBot="1" x14ac:dyDescent="0.35">
      <c r="B84" s="10" t="s">
        <v>33</v>
      </c>
      <c r="C84" s="10">
        <v>2301.2255</v>
      </c>
      <c r="D84" s="10">
        <v>19</v>
      </c>
      <c r="E84" s="10"/>
      <c r="F84" s="10"/>
      <c r="G84" s="10"/>
    </row>
    <row r="85" spans="2:7" x14ac:dyDescent="0.3">
      <c r="B85" s="5" t="s">
        <v>61</v>
      </c>
    </row>
    <row r="86" spans="2:7" x14ac:dyDescent="0.3">
      <c r="B86" s="5" t="s">
        <v>62</v>
      </c>
    </row>
    <row r="91" spans="2:7" x14ac:dyDescent="0.3">
      <c r="B91" s="6" t="s">
        <v>63</v>
      </c>
      <c r="C91" s="6"/>
      <c r="D91" s="6"/>
      <c r="E91" s="6" t="s">
        <v>64</v>
      </c>
      <c r="F91" s="6"/>
      <c r="G91" s="6"/>
    </row>
    <row r="92" spans="2:7" ht="12" thickBot="1" x14ac:dyDescent="0.35">
      <c r="B92" s="8"/>
      <c r="C92" s="8" t="s">
        <v>65</v>
      </c>
      <c r="D92" s="8" t="s">
        <v>66</v>
      </c>
      <c r="E92" s="8" t="s">
        <v>67</v>
      </c>
      <c r="F92" s="8" t="s">
        <v>68</v>
      </c>
      <c r="G92" s="8" t="s">
        <v>69</v>
      </c>
    </row>
    <row r="93" spans="2:7" x14ac:dyDescent="0.3">
      <c r="B93" s="3" t="s">
        <v>53</v>
      </c>
      <c r="C93" s="3">
        <v>4</v>
      </c>
      <c r="D93" s="3">
        <v>29.4</v>
      </c>
    </row>
    <row r="94" spans="2:7" x14ac:dyDescent="0.3">
      <c r="B94" s="3" t="s">
        <v>51</v>
      </c>
      <c r="C94" s="3">
        <v>4</v>
      </c>
      <c r="E94" s="3">
        <v>41</v>
      </c>
    </row>
    <row r="95" spans="2:7" x14ac:dyDescent="0.3">
      <c r="B95" s="3" t="s">
        <v>49</v>
      </c>
      <c r="C95" s="3">
        <v>4</v>
      </c>
      <c r="F95" s="3">
        <v>48.5</v>
      </c>
    </row>
    <row r="96" spans="2:7" x14ac:dyDescent="0.3">
      <c r="B96" s="3" t="s">
        <v>45</v>
      </c>
      <c r="C96" s="3">
        <v>4</v>
      </c>
      <c r="F96" s="3">
        <v>53.174999999999997</v>
      </c>
      <c r="G96" s="3">
        <v>53.174999999999997</v>
      </c>
    </row>
    <row r="97" spans="2:7" ht="12" thickBot="1" x14ac:dyDescent="0.35">
      <c r="B97" s="8" t="s">
        <v>47</v>
      </c>
      <c r="C97" s="8">
        <v>4</v>
      </c>
      <c r="D97" s="8"/>
      <c r="E97" s="8"/>
      <c r="F97" s="8"/>
      <c r="G97" s="8">
        <v>58.5</v>
      </c>
    </row>
    <row r="98" spans="2:7" x14ac:dyDescent="0.3">
      <c r="B98" s="5" t="s">
        <v>70</v>
      </c>
    </row>
    <row r="99" spans="2:7" x14ac:dyDescent="0.3">
      <c r="B99" s="5"/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04BA-D8F3-4C0C-AE9C-FBC1E7ABCF98}">
  <dimension ref="A1:E5"/>
  <sheetViews>
    <sheetView workbookViewId="0">
      <selection activeCell="D14" sqref="D14"/>
    </sheetView>
  </sheetViews>
  <sheetFormatPr defaultRowHeight="16.5" x14ac:dyDescent="0.3"/>
  <sheetData>
    <row r="1" spans="1:5" x14ac:dyDescent="0.3">
      <c r="A1" t="s">
        <v>46</v>
      </c>
      <c r="B1" t="s">
        <v>48</v>
      </c>
      <c r="C1" t="s">
        <v>50</v>
      </c>
      <c r="D1" t="s">
        <v>52</v>
      </c>
      <c r="E1" t="s">
        <v>54</v>
      </c>
    </row>
    <row r="2" spans="1:5" x14ac:dyDescent="0.3">
      <c r="A2">
        <v>46.8</v>
      </c>
      <c r="B2">
        <v>51.2</v>
      </c>
      <c r="C2">
        <v>50.2</v>
      </c>
      <c r="D2">
        <v>40.799999999999997</v>
      </c>
      <c r="E2">
        <v>30.2</v>
      </c>
    </row>
    <row r="3" spans="1:5" x14ac:dyDescent="0.3">
      <c r="A3">
        <v>58</v>
      </c>
      <c r="B3">
        <v>62.4</v>
      </c>
      <c r="C3">
        <v>49.8</v>
      </c>
      <c r="D3">
        <v>41.8</v>
      </c>
      <c r="E3">
        <v>25.8</v>
      </c>
    </row>
    <row r="4" spans="1:5" x14ac:dyDescent="0.3">
      <c r="A4">
        <v>51.4</v>
      </c>
      <c r="B4">
        <v>58.5</v>
      </c>
      <c r="C4">
        <v>45.2</v>
      </c>
      <c r="D4">
        <v>45.5</v>
      </c>
      <c r="E4">
        <v>32.4</v>
      </c>
    </row>
    <row r="5" spans="1:5" x14ac:dyDescent="0.3">
      <c r="A5">
        <v>56.5</v>
      </c>
      <c r="B5">
        <v>61.9</v>
      </c>
      <c r="C5">
        <v>48.8</v>
      </c>
      <c r="D5">
        <v>35.9</v>
      </c>
      <c r="E5">
        <v>29.2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문제1</vt:lpstr>
      <vt:lpstr>문제2</vt:lpstr>
      <vt:lpstr>문제3-1</vt:lpstr>
      <vt:lpstr>문제3-2</vt:lpstr>
      <vt:lpstr>_#TmpKess1#_</vt:lpstr>
      <vt:lpstr>Sheet10</vt:lpstr>
      <vt:lpstr>문제4</vt:lpstr>
      <vt:lpstr>문제5-1</vt:lpstr>
      <vt:lpstr>_TempBoxplot_</vt:lpstr>
      <vt:lpstr>_통계분석결과_</vt:lpstr>
      <vt:lpstr>문제5-2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2020-06-16T11:03:32Z</dcterms:created>
  <dcterms:modified xsi:type="dcterms:W3CDTF">2020-06-17T13:15:01Z</dcterms:modified>
</cp:coreProperties>
</file>